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cs9\develop\github\TubeSound\Sparkle2\Montblanc\v4.1\"/>
    </mc:Choice>
  </mc:AlternateContent>
  <xr:revisionPtr revIDLastSave="0" documentId="13_ncr:1_{90ACDD25-364E-4375-82EE-77E714210CFD}" xr6:coauthVersionLast="47" xr6:coauthVersionMax="47" xr10:uidLastSave="{00000000-0000-0000-0000-000000000000}"/>
  <bookViews>
    <workbookView xWindow="7245" yWindow="3120" windowWidth="21600" windowHeight="13500" xr2:uid="{00000000-000D-0000-FFFF-FFFF00000000}"/>
  </bookViews>
  <sheets>
    <sheet name="Sheet1" sheetId="2" r:id="rId1"/>
    <sheet name="US100" sheetId="1" r:id="rId2"/>
    <sheet name="US30" sheetId="3" r:id="rId3"/>
    <sheet name="XAUUS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2" l="1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" i="2"/>
  <c r="S4" i="2"/>
  <c r="S3" i="2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2" i="2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<sst xmlns="http://schemas.openxmlformats.org/spreadsheetml/2006/main" count="229" uniqueCount="25">
  <si>
    <t>symbol</t>
  </si>
  <si>
    <t>version</t>
  </si>
  <si>
    <t>i</t>
  </si>
  <si>
    <t>atr_term</t>
  </si>
  <si>
    <t>trend_minutes</t>
  </si>
  <si>
    <t>trend_multiply</t>
  </si>
  <si>
    <t>trend_micro_minutes</t>
  </si>
  <si>
    <t>trend_micro_multiply</t>
  </si>
  <si>
    <t>sl</t>
  </si>
  <si>
    <t>sl_loose</t>
  </si>
  <si>
    <t>position_max</t>
  </si>
  <si>
    <t>volume</t>
  </si>
  <si>
    <t>trades</t>
  </si>
  <si>
    <t>win_rate</t>
  </si>
  <si>
    <t>profit_mean</t>
  </si>
  <si>
    <t>profit_median</t>
  </si>
  <si>
    <t>drawdown_min</t>
  </si>
  <si>
    <t>profit</t>
  </si>
  <si>
    <t>US100</t>
  </si>
  <si>
    <t>US30</t>
  </si>
  <si>
    <t>XAUUSD</t>
  </si>
  <si>
    <t>JP225</t>
  </si>
  <si>
    <t>sl 40-&gt;100</t>
    <phoneticPr fontId="2"/>
  </si>
  <si>
    <t>USDJPY</t>
  </si>
  <si>
    <t>comment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</si>
</sst>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2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352424</xdr:colOff>
      <xdr:row>2</xdr:row>
      <xdr:rowOff>100011</xdr:rowOff>
    </xdr:from>
    <xdr:to>
      <xdr:col>31</xdr:col>
      <xdr:colOff>285749</xdr:colOff>
      <xdr:row>24</xdr:row>
      <xdr:rowOff>66674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017A139-F1FE-011E-3EF3-11B1B57A9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8424" y="442911"/>
          <a:ext cx="7477125" cy="3738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33</xdr:col>
      <xdr:colOff>609600</xdr:colOff>
      <xdr:row>28</xdr:row>
      <xdr:rowOff>133350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203E4AC-DE8A-717D-3D87-79647451F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0" y="171450"/>
          <a:ext cx="952500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219075</xdr:colOff>
      <xdr:row>2</xdr:row>
      <xdr:rowOff>104775</xdr:rowOff>
    </xdr:from>
    <xdr:ext cx="7277100" cy="3638550"/>
    <xdr:pic>
      <xdr:nvPicPr>
        <xdr:cNvPr id="2" name="図 1">
          <a:extLst>
            <a:ext uri="{FF2B5EF4-FFF2-40B4-BE49-F238E27FC236}">
              <a16:creationId xmlns:a16="http://schemas.microsoft.com/office/drawing/2014/main" id="{49257F64-5465-4CD6-9F24-3ED3C3B40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49275" y="447675"/>
          <a:ext cx="7277100" cy="3638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FDD2-4A68-4940-8181-BCF43FA9BBEF}">
  <dimension ref="A1:T6"/>
  <sheetViews>
    <sheetView tabSelected="1" workbookViewId="0">
      <selection activeCell="N28" sqref="N28"/>
    </sheetView>
  </sheetViews>
  <sheetFormatPr defaultRowHeight="13.5" x14ac:dyDescent="0.15"/>
  <cols>
    <col min="19" max="19" width="10.75" customWidth="1"/>
    <col min="20" max="20" width="23.875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5" t="s">
        <v>24</v>
      </c>
    </row>
    <row r="2" spans="1:20" x14ac:dyDescent="0.15">
      <c r="A2" s="2" t="s">
        <v>18</v>
      </c>
      <c r="B2" s="2">
        <v>4.0999999999999996</v>
      </c>
      <c r="C2" s="2">
        <v>17</v>
      </c>
      <c r="D2" s="2">
        <v>5</v>
      </c>
      <c r="E2" s="2">
        <v>10</v>
      </c>
      <c r="F2" s="2">
        <v>2.4</v>
      </c>
      <c r="G2" s="2">
        <v>1</v>
      </c>
      <c r="H2" s="2">
        <v>1.6</v>
      </c>
      <c r="I2" s="2">
        <v>50</v>
      </c>
      <c r="J2" s="2"/>
      <c r="K2" s="2">
        <v>10</v>
      </c>
      <c r="L2" s="2">
        <v>0.01</v>
      </c>
      <c r="M2" s="2">
        <v>52653</v>
      </c>
      <c r="N2" s="2">
        <v>0.32442595863483559</v>
      </c>
      <c r="O2" s="2">
        <v>0.37309118188896528</v>
      </c>
      <c r="P2" s="2">
        <v>-2.799999999999272</v>
      </c>
      <c r="Q2" s="2">
        <v>-20951.02000000003</v>
      </c>
      <c r="R2" s="2">
        <v>19644.369999999712</v>
      </c>
      <c r="S2" s="2">
        <f t="shared" ref="S2" si="0">Q2/R2</f>
        <v>-1.0665152407534748</v>
      </c>
    </row>
    <row r="3" spans="1:20" x14ac:dyDescent="0.15">
      <c r="A3" s="2" t="s">
        <v>19</v>
      </c>
      <c r="B3" s="2">
        <v>4.0999999999999996</v>
      </c>
      <c r="C3" s="2">
        <v>11</v>
      </c>
      <c r="D3" s="2">
        <v>25</v>
      </c>
      <c r="E3" s="2">
        <v>25</v>
      </c>
      <c r="F3" s="2">
        <v>3</v>
      </c>
      <c r="G3" s="2">
        <v>1</v>
      </c>
      <c r="H3" s="2">
        <v>1</v>
      </c>
      <c r="I3" s="2">
        <v>60</v>
      </c>
      <c r="J3" s="2"/>
      <c r="K3" s="2">
        <v>5</v>
      </c>
      <c r="L3" s="2">
        <v>0.01</v>
      </c>
      <c r="M3" s="2">
        <v>87691</v>
      </c>
      <c r="N3" s="2">
        <v>0.32611100340970001</v>
      </c>
      <c r="O3" s="2">
        <v>0.89103727862608917</v>
      </c>
      <c r="P3" s="2">
        <v>-3.5</v>
      </c>
      <c r="Q3" s="2">
        <v>-26103.5</v>
      </c>
      <c r="R3" s="2">
        <v>78135.950000000215</v>
      </c>
      <c r="S3" s="2">
        <f>Q3/R3</f>
        <v>-0.33407797563093466</v>
      </c>
    </row>
    <row r="4" spans="1:20" x14ac:dyDescent="0.15">
      <c r="A4" s="3" t="s">
        <v>21</v>
      </c>
      <c r="B4" s="3">
        <v>4</v>
      </c>
      <c r="C4" s="3">
        <v>8</v>
      </c>
      <c r="D4" s="3">
        <v>25</v>
      </c>
      <c r="E4" s="3">
        <v>5</v>
      </c>
      <c r="F4" s="3">
        <v>4</v>
      </c>
      <c r="G4" s="3">
        <v>1</v>
      </c>
      <c r="H4" s="3">
        <v>2.6</v>
      </c>
      <c r="I4" s="4">
        <v>100</v>
      </c>
      <c r="J4" s="3"/>
      <c r="K4" s="3">
        <v>7</v>
      </c>
      <c r="L4" s="3">
        <v>10</v>
      </c>
      <c r="M4" s="3">
        <v>26140</v>
      </c>
      <c r="N4" s="3">
        <v>0.30241009946442232</v>
      </c>
      <c r="O4" s="3">
        <v>3.601742157612855</v>
      </c>
      <c r="P4" s="3">
        <v>-25</v>
      </c>
      <c r="Q4" s="3">
        <v>-16196</v>
      </c>
      <c r="R4" s="3">
        <v>94149.540000000066</v>
      </c>
      <c r="S4" s="3">
        <f t="shared" ref="S4" si="1">Q4/R4</f>
        <v>-0.17202420744700386</v>
      </c>
      <c r="T4" s="3" t="s">
        <v>22</v>
      </c>
    </row>
    <row r="5" spans="1:20" x14ac:dyDescent="0.15">
      <c r="A5" s="3" t="s">
        <v>23</v>
      </c>
      <c r="B5" s="3">
        <v>4</v>
      </c>
      <c r="C5" s="3">
        <v>7</v>
      </c>
      <c r="D5" s="3">
        <v>10</v>
      </c>
      <c r="E5" s="3">
        <v>20</v>
      </c>
      <c r="F5" s="3">
        <v>2.4</v>
      </c>
      <c r="G5" s="3">
        <v>1</v>
      </c>
      <c r="H5" s="3">
        <v>3</v>
      </c>
      <c r="I5" s="3">
        <v>0.03</v>
      </c>
      <c r="J5" s="3"/>
      <c r="K5" s="3">
        <v>5</v>
      </c>
      <c r="L5" s="3">
        <v>0.01</v>
      </c>
      <c r="M5" s="3">
        <v>18088</v>
      </c>
      <c r="N5" s="3">
        <v>0.18199911543564801</v>
      </c>
      <c r="O5" s="3">
        <v>6.0915524104378877E-3</v>
      </c>
      <c r="P5" s="3">
        <v>-0.03</v>
      </c>
      <c r="Q5" s="3">
        <v>-21.89700000000062</v>
      </c>
      <c r="R5" s="3">
        <v>110.18399999998709</v>
      </c>
      <c r="S5" s="3">
        <f>Q5/R5</f>
        <v>-0.19873121324333101</v>
      </c>
    </row>
    <row r="6" spans="1:20" x14ac:dyDescent="0.15">
      <c r="A6" s="2" t="s">
        <v>20</v>
      </c>
      <c r="B6" s="2">
        <v>4.0999999999999996</v>
      </c>
      <c r="C6" s="2">
        <v>22</v>
      </c>
      <c r="D6" s="2">
        <v>10</v>
      </c>
      <c r="E6" s="2">
        <v>15</v>
      </c>
      <c r="F6" s="2">
        <v>3.2</v>
      </c>
      <c r="G6" s="2">
        <v>1</v>
      </c>
      <c r="H6" s="2">
        <v>2</v>
      </c>
      <c r="I6" s="2">
        <v>8</v>
      </c>
      <c r="J6" s="2"/>
      <c r="K6" s="2">
        <v>7</v>
      </c>
      <c r="L6" s="2">
        <v>0.01</v>
      </c>
      <c r="M6" s="2">
        <v>27901</v>
      </c>
      <c r="N6" s="2">
        <v>0.32192394537830188</v>
      </c>
      <c r="O6" s="2">
        <v>9.9539443030715519E-2</v>
      </c>
      <c r="P6" s="2">
        <v>-0.39999999999986358</v>
      </c>
      <c r="Q6" s="2">
        <v>-1131.9700000000071</v>
      </c>
      <c r="R6" s="2">
        <v>2777.2499999999941</v>
      </c>
      <c r="S6" s="2">
        <f>Q6/R6</f>
        <v>-0.40758664146188117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workbookViewId="0">
      <selection sqref="A1:S3"/>
    </sheetView>
  </sheetViews>
  <sheetFormatPr defaultRowHeight="13.5" x14ac:dyDescent="0.15"/>
  <sheetData>
    <row r="1" spans="1:1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9" x14ac:dyDescent="0.15">
      <c r="A2" t="s">
        <v>18</v>
      </c>
      <c r="B2">
        <v>4.0999999999999996</v>
      </c>
      <c r="C2">
        <v>45</v>
      </c>
      <c r="D2">
        <v>5</v>
      </c>
      <c r="E2">
        <v>25</v>
      </c>
      <c r="F2">
        <v>4</v>
      </c>
      <c r="G2">
        <v>1</v>
      </c>
      <c r="H2">
        <v>1.6</v>
      </c>
      <c r="I2">
        <v>30</v>
      </c>
      <c r="K2">
        <v>5</v>
      </c>
      <c r="L2">
        <v>0.01</v>
      </c>
      <c r="M2">
        <v>47426</v>
      </c>
      <c r="N2">
        <v>0.31866486737232741</v>
      </c>
      <c r="O2">
        <v>0.47004069497743789</v>
      </c>
      <c r="P2">
        <v>-3</v>
      </c>
      <c r="Q2">
        <v>-26920.959999999741</v>
      </c>
      <c r="R2">
        <v>22292.150000000151</v>
      </c>
      <c r="S2">
        <f>Q2/R2</f>
        <v>-1.2076430492348005</v>
      </c>
    </row>
    <row r="3" spans="1:19" x14ac:dyDescent="0.15">
      <c r="A3" s="2" t="s">
        <v>18</v>
      </c>
      <c r="B3" s="2">
        <v>4.0999999999999996</v>
      </c>
      <c r="C3" s="2">
        <v>17</v>
      </c>
      <c r="D3" s="2">
        <v>5</v>
      </c>
      <c r="E3" s="2">
        <v>10</v>
      </c>
      <c r="F3" s="2">
        <v>2.4</v>
      </c>
      <c r="G3" s="2">
        <v>1</v>
      </c>
      <c r="H3" s="2">
        <v>1.6</v>
      </c>
      <c r="I3" s="2">
        <v>50</v>
      </c>
      <c r="J3" s="2"/>
      <c r="K3" s="2">
        <v>10</v>
      </c>
      <c r="L3" s="2">
        <v>0.01</v>
      </c>
      <c r="M3" s="2">
        <v>52653</v>
      </c>
      <c r="N3" s="2">
        <v>0.32442595863483559</v>
      </c>
      <c r="O3" s="2">
        <v>0.37309118188896528</v>
      </c>
      <c r="P3" s="2">
        <v>-2.799999999999272</v>
      </c>
      <c r="Q3" s="2">
        <v>-20951.02000000003</v>
      </c>
      <c r="R3" s="2">
        <v>19644.369999999712</v>
      </c>
      <c r="S3" s="2">
        <f t="shared" ref="S3:S51" si="0">Q3/R3</f>
        <v>-1.0665152407534748</v>
      </c>
    </row>
    <row r="4" spans="1:19" x14ac:dyDescent="0.15">
      <c r="A4" t="s">
        <v>18</v>
      </c>
      <c r="B4">
        <v>4.0999999999999996</v>
      </c>
      <c r="C4">
        <v>0</v>
      </c>
      <c r="D4">
        <v>15</v>
      </c>
      <c r="E4">
        <v>30</v>
      </c>
      <c r="F4">
        <v>2.2000000000000002</v>
      </c>
      <c r="G4">
        <v>1</v>
      </c>
      <c r="H4">
        <v>1</v>
      </c>
      <c r="I4">
        <v>30</v>
      </c>
      <c r="K4">
        <v>10</v>
      </c>
      <c r="L4">
        <v>0.01</v>
      </c>
      <c r="M4">
        <v>88422</v>
      </c>
      <c r="N4">
        <v>0.32714709009070142</v>
      </c>
      <c r="O4">
        <v>0.2104746556286903</v>
      </c>
      <c r="P4">
        <v>-2</v>
      </c>
      <c r="Q4">
        <v>-19189.300000000021</v>
      </c>
      <c r="R4">
        <v>18610.590000000051</v>
      </c>
      <c r="S4">
        <f t="shared" si="0"/>
        <v>-1.0310957363522579</v>
      </c>
    </row>
    <row r="5" spans="1:19" x14ac:dyDescent="0.15">
      <c r="A5" t="s">
        <v>18</v>
      </c>
      <c r="B5">
        <v>4.0999999999999996</v>
      </c>
      <c r="C5">
        <v>10</v>
      </c>
      <c r="D5">
        <v>10</v>
      </c>
      <c r="E5">
        <v>25</v>
      </c>
      <c r="F5">
        <v>2.8</v>
      </c>
      <c r="G5">
        <v>1</v>
      </c>
      <c r="H5">
        <v>3</v>
      </c>
      <c r="I5">
        <v>30</v>
      </c>
      <c r="K5">
        <v>5</v>
      </c>
      <c r="L5">
        <v>0.01</v>
      </c>
      <c r="M5">
        <v>19338</v>
      </c>
      <c r="N5">
        <v>0.30075499017478541</v>
      </c>
      <c r="O5">
        <v>0.66932102595925957</v>
      </c>
      <c r="P5">
        <v>-7.2999999999992724</v>
      </c>
      <c r="Q5">
        <v>-25396.100000000009</v>
      </c>
      <c r="R5">
        <v>12943.33000000016</v>
      </c>
      <c r="S5">
        <f t="shared" si="0"/>
        <v>-1.9620993979138055</v>
      </c>
    </row>
    <row r="6" spans="1:19" x14ac:dyDescent="0.15">
      <c r="A6" t="s">
        <v>18</v>
      </c>
      <c r="B6">
        <v>4.0999999999999996</v>
      </c>
      <c r="C6">
        <v>22</v>
      </c>
      <c r="D6">
        <v>10</v>
      </c>
      <c r="E6">
        <v>20</v>
      </c>
      <c r="F6">
        <v>3.2</v>
      </c>
      <c r="G6">
        <v>1</v>
      </c>
      <c r="H6">
        <v>3</v>
      </c>
      <c r="I6">
        <v>30</v>
      </c>
      <c r="K6">
        <v>5</v>
      </c>
      <c r="L6">
        <v>0.01</v>
      </c>
      <c r="M6">
        <v>19310</v>
      </c>
      <c r="N6">
        <v>0.29989642672190581</v>
      </c>
      <c r="O6">
        <v>0.59164577938892404</v>
      </c>
      <c r="P6">
        <v>-7.2999999999992724</v>
      </c>
      <c r="Q6">
        <v>-25469.40000000002</v>
      </c>
      <c r="R6">
        <v>11424.680000000129</v>
      </c>
      <c r="S6">
        <f t="shared" si="0"/>
        <v>-2.229331587405488</v>
      </c>
    </row>
    <row r="7" spans="1:19" x14ac:dyDescent="0.15">
      <c r="A7" t="s">
        <v>18</v>
      </c>
      <c r="B7">
        <v>4.0999999999999996</v>
      </c>
      <c r="C7">
        <v>12</v>
      </c>
      <c r="D7">
        <v>20</v>
      </c>
      <c r="E7">
        <v>15</v>
      </c>
      <c r="F7">
        <v>3.8</v>
      </c>
      <c r="G7">
        <v>1</v>
      </c>
      <c r="H7">
        <v>3</v>
      </c>
      <c r="I7">
        <v>60</v>
      </c>
      <c r="K7">
        <v>7</v>
      </c>
      <c r="L7">
        <v>0.01</v>
      </c>
      <c r="M7">
        <v>19489</v>
      </c>
      <c r="N7">
        <v>0.32921134999230328</v>
      </c>
      <c r="O7">
        <v>0.57662219713685015</v>
      </c>
      <c r="P7">
        <v>-5.2000000000007276</v>
      </c>
      <c r="Q7">
        <v>-17673.300000000039</v>
      </c>
      <c r="R7">
        <v>11237.79000000007</v>
      </c>
      <c r="S7">
        <f t="shared" si="0"/>
        <v>-1.5726668677738176</v>
      </c>
    </row>
    <row r="8" spans="1:19" x14ac:dyDescent="0.15">
      <c r="A8" t="s">
        <v>18</v>
      </c>
      <c r="B8">
        <v>4.0999999999999996</v>
      </c>
      <c r="C8">
        <v>8</v>
      </c>
      <c r="D8">
        <v>25</v>
      </c>
      <c r="E8">
        <v>30</v>
      </c>
      <c r="F8">
        <v>2.8</v>
      </c>
      <c r="G8">
        <v>1</v>
      </c>
      <c r="H8">
        <v>1</v>
      </c>
      <c r="I8">
        <v>40</v>
      </c>
      <c r="K8">
        <v>7</v>
      </c>
      <c r="L8">
        <v>0.01</v>
      </c>
      <c r="M8">
        <v>82415</v>
      </c>
      <c r="N8">
        <v>0.32758599769459451</v>
      </c>
      <c r="O8">
        <v>0.13235624582903691</v>
      </c>
      <c r="P8">
        <v>-2</v>
      </c>
      <c r="Q8">
        <v>-16801.400000000001</v>
      </c>
      <c r="R8">
        <v>10908.140000000079</v>
      </c>
      <c r="S8">
        <f t="shared" si="0"/>
        <v>-1.5402625928893359</v>
      </c>
    </row>
    <row r="9" spans="1:19" x14ac:dyDescent="0.15">
      <c r="A9" t="s">
        <v>18</v>
      </c>
      <c r="B9">
        <v>4.0999999999999996</v>
      </c>
      <c r="C9">
        <v>16</v>
      </c>
      <c r="D9">
        <v>15</v>
      </c>
      <c r="E9">
        <v>20</v>
      </c>
      <c r="F9">
        <v>3.4</v>
      </c>
      <c r="G9">
        <v>1</v>
      </c>
      <c r="H9">
        <v>3</v>
      </c>
      <c r="I9">
        <v>50</v>
      </c>
      <c r="K9">
        <v>4</v>
      </c>
      <c r="L9">
        <v>0.01</v>
      </c>
      <c r="M9">
        <v>18997</v>
      </c>
      <c r="N9">
        <v>0.32352476706848449</v>
      </c>
      <c r="O9">
        <v>0.54887087434857629</v>
      </c>
      <c r="P9">
        <v>-5.5</v>
      </c>
      <c r="Q9">
        <v>-23362.000000000109</v>
      </c>
      <c r="R9">
        <v>10426.89999999989</v>
      </c>
      <c r="S9">
        <f t="shared" si="0"/>
        <v>-2.2405508828127587</v>
      </c>
    </row>
    <row r="10" spans="1:19" x14ac:dyDescent="0.15">
      <c r="A10" t="s">
        <v>18</v>
      </c>
      <c r="B10">
        <v>4.0999999999999996</v>
      </c>
      <c r="C10">
        <v>33</v>
      </c>
      <c r="D10">
        <v>15</v>
      </c>
      <c r="E10">
        <v>25</v>
      </c>
      <c r="F10">
        <v>3.2</v>
      </c>
      <c r="G10">
        <v>1</v>
      </c>
      <c r="H10">
        <v>2.9</v>
      </c>
      <c r="I10">
        <v>40</v>
      </c>
      <c r="K10">
        <v>10</v>
      </c>
      <c r="L10">
        <v>0.01</v>
      </c>
      <c r="M10">
        <v>20114</v>
      </c>
      <c r="N10">
        <v>0.31868350402704582</v>
      </c>
      <c r="O10">
        <v>0.47310082529581271</v>
      </c>
      <c r="P10">
        <v>-5.5</v>
      </c>
      <c r="Q10">
        <v>-17401.500000000018</v>
      </c>
      <c r="R10">
        <v>9515.9499999999753</v>
      </c>
      <c r="S10">
        <f t="shared" si="0"/>
        <v>-1.8286666071175304</v>
      </c>
    </row>
    <row r="11" spans="1:19" x14ac:dyDescent="0.15">
      <c r="A11" t="s">
        <v>18</v>
      </c>
      <c r="B11">
        <v>4.0999999999999996</v>
      </c>
      <c r="C11">
        <v>37</v>
      </c>
      <c r="D11">
        <v>10</v>
      </c>
      <c r="E11">
        <v>20</v>
      </c>
      <c r="F11">
        <v>3</v>
      </c>
      <c r="G11">
        <v>1</v>
      </c>
      <c r="H11">
        <v>1.5</v>
      </c>
      <c r="I11">
        <v>80</v>
      </c>
      <c r="K11">
        <v>2</v>
      </c>
      <c r="L11">
        <v>0.01</v>
      </c>
      <c r="M11">
        <v>47493</v>
      </c>
      <c r="N11">
        <v>0.32956435685258878</v>
      </c>
      <c r="O11">
        <v>0.1926704988103527</v>
      </c>
      <c r="P11">
        <v>-2.5999999999985448</v>
      </c>
      <c r="Q11">
        <v>-20624.900000000009</v>
      </c>
      <c r="R11">
        <v>9150.5000000000837</v>
      </c>
      <c r="S11">
        <f t="shared" si="0"/>
        <v>-2.2539642642478355</v>
      </c>
    </row>
    <row r="12" spans="1:19" x14ac:dyDescent="0.15">
      <c r="A12" t="s">
        <v>18</v>
      </c>
      <c r="B12">
        <v>4.0999999999999996</v>
      </c>
      <c r="C12">
        <v>32</v>
      </c>
      <c r="D12">
        <v>30</v>
      </c>
      <c r="E12">
        <v>10</v>
      </c>
      <c r="F12">
        <v>3.8</v>
      </c>
      <c r="G12">
        <v>1</v>
      </c>
      <c r="H12">
        <v>1</v>
      </c>
      <c r="I12">
        <v>80</v>
      </c>
      <c r="K12">
        <v>1</v>
      </c>
      <c r="L12">
        <v>0.01</v>
      </c>
      <c r="M12">
        <v>68343</v>
      </c>
      <c r="N12">
        <v>0.33301142765169811</v>
      </c>
      <c r="O12">
        <v>9.4371918118905468E-2</v>
      </c>
      <c r="P12">
        <v>-2</v>
      </c>
      <c r="Q12">
        <v>-15695.099999999949</v>
      </c>
      <c r="R12">
        <v>6449.6600000003564</v>
      </c>
      <c r="S12">
        <f t="shared" si="0"/>
        <v>-2.4334771135221209</v>
      </c>
    </row>
    <row r="13" spans="1:19" x14ac:dyDescent="0.15">
      <c r="A13" t="s">
        <v>18</v>
      </c>
      <c r="B13">
        <v>4.0999999999999996</v>
      </c>
      <c r="C13">
        <v>48</v>
      </c>
      <c r="D13">
        <v>10</v>
      </c>
      <c r="E13">
        <v>10</v>
      </c>
      <c r="F13">
        <v>3.8</v>
      </c>
      <c r="G13">
        <v>1</v>
      </c>
      <c r="H13">
        <v>2.2999999999999998</v>
      </c>
      <c r="I13">
        <v>50</v>
      </c>
      <c r="K13">
        <v>5</v>
      </c>
      <c r="L13">
        <v>0.01</v>
      </c>
      <c r="M13">
        <v>29273</v>
      </c>
      <c r="N13">
        <v>0.32131998770197789</v>
      </c>
      <c r="O13">
        <v>0.20564923308167771</v>
      </c>
      <c r="P13">
        <v>-4.1000000000021828</v>
      </c>
      <c r="Q13">
        <v>-24134.599999999951</v>
      </c>
      <c r="R13">
        <v>6019.9699999999502</v>
      </c>
      <c r="S13">
        <f t="shared" si="0"/>
        <v>-4.0090897462944417</v>
      </c>
    </row>
    <row r="14" spans="1:19" x14ac:dyDescent="0.15">
      <c r="A14" t="s">
        <v>18</v>
      </c>
      <c r="B14">
        <v>4.0999999999999996</v>
      </c>
      <c r="C14">
        <v>19</v>
      </c>
      <c r="D14">
        <v>30</v>
      </c>
      <c r="E14">
        <v>20</v>
      </c>
      <c r="F14">
        <v>3</v>
      </c>
      <c r="G14">
        <v>1</v>
      </c>
      <c r="H14">
        <v>3</v>
      </c>
      <c r="I14">
        <v>60</v>
      </c>
      <c r="K14">
        <v>4</v>
      </c>
      <c r="L14">
        <v>0.01</v>
      </c>
      <c r="M14">
        <v>19753</v>
      </c>
      <c r="N14">
        <v>0.32845643699691179</v>
      </c>
      <c r="O14">
        <v>0.26688857388751702</v>
      </c>
      <c r="P14">
        <v>-5.3999999999996362</v>
      </c>
      <c r="Q14">
        <v>-25902.80000000005</v>
      </c>
      <c r="R14">
        <v>5271.8500000001477</v>
      </c>
      <c r="S14">
        <f t="shared" si="0"/>
        <v>-4.9134174910134627</v>
      </c>
    </row>
    <row r="15" spans="1:19" x14ac:dyDescent="0.15">
      <c r="A15" t="s">
        <v>18</v>
      </c>
      <c r="B15">
        <v>4.0999999999999996</v>
      </c>
      <c r="C15">
        <v>2</v>
      </c>
      <c r="D15">
        <v>30</v>
      </c>
      <c r="E15">
        <v>15</v>
      </c>
      <c r="F15">
        <v>3.2</v>
      </c>
      <c r="G15">
        <v>1</v>
      </c>
      <c r="H15">
        <v>1</v>
      </c>
      <c r="I15">
        <v>60</v>
      </c>
      <c r="K15">
        <v>2</v>
      </c>
      <c r="L15">
        <v>0.01</v>
      </c>
      <c r="M15">
        <v>78973</v>
      </c>
      <c r="N15">
        <v>0.33145505425905059</v>
      </c>
      <c r="O15">
        <v>4.0964506856773213E-2</v>
      </c>
      <c r="P15">
        <v>-2</v>
      </c>
      <c r="Q15">
        <v>-23267.499999999982</v>
      </c>
      <c r="R15">
        <v>3235.09</v>
      </c>
      <c r="S15">
        <f t="shared" si="0"/>
        <v>-7.1922264913804499</v>
      </c>
    </row>
    <row r="16" spans="1:19" x14ac:dyDescent="0.15">
      <c r="A16" t="s">
        <v>18</v>
      </c>
      <c r="B16">
        <v>4.0999999999999996</v>
      </c>
      <c r="C16">
        <v>14</v>
      </c>
      <c r="D16">
        <v>15</v>
      </c>
      <c r="E16">
        <v>15</v>
      </c>
      <c r="F16">
        <v>3.2</v>
      </c>
      <c r="G16">
        <v>1</v>
      </c>
      <c r="H16">
        <v>2.7</v>
      </c>
      <c r="I16">
        <v>70</v>
      </c>
      <c r="K16">
        <v>10</v>
      </c>
      <c r="L16">
        <v>0.01</v>
      </c>
      <c r="M16">
        <v>23313</v>
      </c>
      <c r="N16">
        <v>0.33144597434907558</v>
      </c>
      <c r="O16">
        <v>0.11653154892120519</v>
      </c>
      <c r="P16">
        <v>-4.5</v>
      </c>
      <c r="Q16">
        <v>-24336.700000000099</v>
      </c>
      <c r="R16">
        <v>2716.7000000000462</v>
      </c>
      <c r="S16">
        <f t="shared" si="0"/>
        <v>-8.9581845621524963</v>
      </c>
    </row>
    <row r="17" spans="1:19" x14ac:dyDescent="0.15">
      <c r="A17" t="s">
        <v>18</v>
      </c>
      <c r="B17">
        <v>4.0999999999999996</v>
      </c>
      <c r="C17">
        <v>15</v>
      </c>
      <c r="D17">
        <v>25</v>
      </c>
      <c r="E17">
        <v>30</v>
      </c>
      <c r="F17">
        <v>2.8</v>
      </c>
      <c r="G17">
        <v>1</v>
      </c>
      <c r="H17">
        <v>1</v>
      </c>
      <c r="I17">
        <v>70</v>
      </c>
      <c r="K17">
        <v>10</v>
      </c>
      <c r="L17">
        <v>0.01</v>
      </c>
      <c r="M17">
        <v>82645</v>
      </c>
      <c r="N17">
        <v>0.32844092201585101</v>
      </c>
      <c r="O17">
        <v>3.0037751830117591E-2</v>
      </c>
      <c r="P17">
        <v>-2</v>
      </c>
      <c r="Q17">
        <v>-17900.400000000001</v>
      </c>
      <c r="R17">
        <v>2482.470000000068</v>
      </c>
      <c r="S17">
        <f t="shared" si="0"/>
        <v>-7.2107215797167781</v>
      </c>
    </row>
    <row r="18" spans="1:19" x14ac:dyDescent="0.15">
      <c r="A18" t="s">
        <v>18</v>
      </c>
      <c r="B18">
        <v>4.0999999999999996</v>
      </c>
      <c r="C18">
        <v>42</v>
      </c>
      <c r="D18">
        <v>15</v>
      </c>
      <c r="E18">
        <v>10</v>
      </c>
      <c r="F18">
        <v>3.8</v>
      </c>
      <c r="G18">
        <v>1</v>
      </c>
      <c r="H18">
        <v>2.2999999999999998</v>
      </c>
      <c r="I18">
        <v>80</v>
      </c>
      <c r="K18">
        <v>1</v>
      </c>
      <c r="L18">
        <v>0.01</v>
      </c>
      <c r="M18">
        <v>23549</v>
      </c>
      <c r="N18">
        <v>0.32999278100980928</v>
      </c>
      <c r="O18">
        <v>9.3129219924407231E-2</v>
      </c>
      <c r="P18">
        <v>-3.9000000000014552</v>
      </c>
      <c r="Q18">
        <v>-14293.75999999996</v>
      </c>
      <c r="R18">
        <v>2193.0999999998662</v>
      </c>
      <c r="S18">
        <f t="shared" si="0"/>
        <v>-6.5176052163607823</v>
      </c>
    </row>
    <row r="19" spans="1:19" x14ac:dyDescent="0.15">
      <c r="A19" t="s">
        <v>18</v>
      </c>
      <c r="B19">
        <v>4.0999999999999996</v>
      </c>
      <c r="C19">
        <v>13</v>
      </c>
      <c r="D19">
        <v>30</v>
      </c>
      <c r="E19">
        <v>15</v>
      </c>
      <c r="F19">
        <v>3.6</v>
      </c>
      <c r="G19">
        <v>1</v>
      </c>
      <c r="H19">
        <v>3</v>
      </c>
      <c r="I19">
        <v>60</v>
      </c>
      <c r="K19">
        <v>10</v>
      </c>
      <c r="L19">
        <v>0.01</v>
      </c>
      <c r="M19">
        <v>19868</v>
      </c>
      <c r="N19">
        <v>0.32776323736661972</v>
      </c>
      <c r="O19">
        <v>9.8819710086581553E-2</v>
      </c>
      <c r="P19">
        <v>-5.2999999999992724</v>
      </c>
      <c r="Q19">
        <v>-31908.700000000081</v>
      </c>
      <c r="R19">
        <v>1963.3500000001479</v>
      </c>
      <c r="S19">
        <f t="shared" si="0"/>
        <v>-16.252171034200565</v>
      </c>
    </row>
    <row r="20" spans="1:19" x14ac:dyDescent="0.15">
      <c r="A20" t="s">
        <v>18</v>
      </c>
      <c r="B20">
        <v>4.0999999999999996</v>
      </c>
      <c r="C20">
        <v>34</v>
      </c>
      <c r="D20">
        <v>30</v>
      </c>
      <c r="E20">
        <v>20</v>
      </c>
      <c r="F20">
        <v>3.2</v>
      </c>
      <c r="G20">
        <v>1</v>
      </c>
      <c r="H20">
        <v>1.1000000000000001</v>
      </c>
      <c r="I20">
        <v>30</v>
      </c>
      <c r="K20">
        <v>2</v>
      </c>
      <c r="L20">
        <v>0.01</v>
      </c>
      <c r="M20">
        <v>70761</v>
      </c>
      <c r="N20">
        <v>0.32919263436073543</v>
      </c>
      <c r="O20">
        <v>2.4125718969486121E-2</v>
      </c>
      <c r="P20">
        <v>-2.200000000000728</v>
      </c>
      <c r="Q20">
        <v>-19461.900000000071</v>
      </c>
      <c r="R20">
        <v>1707.159999999807</v>
      </c>
      <c r="S20">
        <f t="shared" si="0"/>
        <v>-11.400161672018013</v>
      </c>
    </row>
    <row r="21" spans="1:19" x14ac:dyDescent="0.15">
      <c r="A21" t="s">
        <v>18</v>
      </c>
      <c r="B21">
        <v>4.0999999999999996</v>
      </c>
      <c r="C21">
        <v>44</v>
      </c>
      <c r="D21">
        <v>20</v>
      </c>
      <c r="E21">
        <v>15</v>
      </c>
      <c r="F21">
        <v>3.6</v>
      </c>
      <c r="G21">
        <v>1</v>
      </c>
      <c r="H21">
        <v>2.9</v>
      </c>
      <c r="I21">
        <v>30</v>
      </c>
      <c r="K21">
        <v>4</v>
      </c>
      <c r="L21">
        <v>0.01</v>
      </c>
      <c r="M21">
        <v>20414</v>
      </c>
      <c r="N21">
        <v>0.30386009601254038</v>
      </c>
      <c r="O21">
        <v>5.8441755657876363E-2</v>
      </c>
      <c r="P21">
        <v>-6.8000000000010914</v>
      </c>
      <c r="Q21">
        <v>-22359.700000000081</v>
      </c>
      <c r="R21">
        <v>1193.0299999998881</v>
      </c>
      <c r="S21">
        <f t="shared" si="0"/>
        <v>-18.741942784340861</v>
      </c>
    </row>
    <row r="22" spans="1:19" x14ac:dyDescent="0.15">
      <c r="A22" t="s">
        <v>18</v>
      </c>
      <c r="B22">
        <v>4.0999999999999996</v>
      </c>
      <c r="C22">
        <v>28</v>
      </c>
      <c r="D22">
        <v>10</v>
      </c>
      <c r="E22">
        <v>15</v>
      </c>
      <c r="F22">
        <v>3.6</v>
      </c>
      <c r="G22">
        <v>1</v>
      </c>
      <c r="H22">
        <v>3</v>
      </c>
      <c r="I22">
        <v>50</v>
      </c>
      <c r="K22">
        <v>5</v>
      </c>
      <c r="L22">
        <v>0.01</v>
      </c>
      <c r="M22">
        <v>19411</v>
      </c>
      <c r="N22">
        <v>0.32120962340940712</v>
      </c>
      <c r="O22">
        <v>4.0791819071670767E-2</v>
      </c>
      <c r="P22">
        <v>-5.5</v>
      </c>
      <c r="Q22">
        <v>-27991.099999999991</v>
      </c>
      <c r="R22">
        <v>791.81000000025415</v>
      </c>
      <c r="S22">
        <f t="shared" si="0"/>
        <v>-35.350778595863915</v>
      </c>
    </row>
    <row r="23" spans="1:19" x14ac:dyDescent="0.15">
      <c r="A23" t="s">
        <v>18</v>
      </c>
      <c r="B23">
        <v>4.0999999999999996</v>
      </c>
      <c r="C23">
        <v>26</v>
      </c>
      <c r="D23">
        <v>20</v>
      </c>
      <c r="E23">
        <v>15</v>
      </c>
      <c r="F23">
        <v>2.6</v>
      </c>
      <c r="G23">
        <v>1</v>
      </c>
      <c r="H23">
        <v>3</v>
      </c>
      <c r="I23">
        <v>70</v>
      </c>
      <c r="K23">
        <v>4</v>
      </c>
      <c r="L23">
        <v>0.01</v>
      </c>
      <c r="M23">
        <v>20346</v>
      </c>
      <c r="N23">
        <v>0.3272879190012779</v>
      </c>
      <c r="O23">
        <v>3.4880566204658153E-2</v>
      </c>
      <c r="P23">
        <v>-5.2999999999992724</v>
      </c>
      <c r="Q23">
        <v>-38975.700000000063</v>
      </c>
      <c r="R23">
        <v>709.67999999997483</v>
      </c>
      <c r="S23">
        <f t="shared" si="0"/>
        <v>-54.920104835984453</v>
      </c>
    </row>
    <row r="24" spans="1:19" x14ac:dyDescent="0.15">
      <c r="A24" t="s">
        <v>18</v>
      </c>
      <c r="B24">
        <v>4.0999999999999996</v>
      </c>
      <c r="C24">
        <v>25</v>
      </c>
      <c r="D24">
        <v>15</v>
      </c>
      <c r="E24">
        <v>20</v>
      </c>
      <c r="F24">
        <v>3.4</v>
      </c>
      <c r="G24">
        <v>1</v>
      </c>
      <c r="H24">
        <v>2.9</v>
      </c>
      <c r="I24">
        <v>30</v>
      </c>
      <c r="K24">
        <v>4</v>
      </c>
      <c r="L24">
        <v>0.01</v>
      </c>
      <c r="M24">
        <v>20085</v>
      </c>
      <c r="N24">
        <v>0.3039581777445855</v>
      </c>
      <c r="O24">
        <v>2.407717201892123E-2</v>
      </c>
      <c r="P24">
        <v>-6.7000000000007276</v>
      </c>
      <c r="Q24">
        <v>-23878.400000000049</v>
      </c>
      <c r="R24">
        <v>483.59000000003289</v>
      </c>
      <c r="S24">
        <f t="shared" si="0"/>
        <v>-49.377365123345037</v>
      </c>
    </row>
    <row r="25" spans="1:19" x14ac:dyDescent="0.15">
      <c r="A25" t="s">
        <v>18</v>
      </c>
      <c r="B25">
        <v>4.0999999999999996</v>
      </c>
      <c r="C25">
        <v>7</v>
      </c>
      <c r="D25">
        <v>25</v>
      </c>
      <c r="E25">
        <v>20</v>
      </c>
      <c r="F25">
        <v>3</v>
      </c>
      <c r="G25">
        <v>1</v>
      </c>
      <c r="H25">
        <v>1</v>
      </c>
      <c r="I25">
        <v>70</v>
      </c>
      <c r="K25">
        <v>4</v>
      </c>
      <c r="L25">
        <v>0.01</v>
      </c>
      <c r="M25">
        <v>86224</v>
      </c>
      <c r="N25">
        <v>0.33061560586379662</v>
      </c>
      <c r="O25">
        <v>3.5556225644853569E-3</v>
      </c>
      <c r="P25">
        <v>-2</v>
      </c>
      <c r="Q25">
        <v>-20149.50000000004</v>
      </c>
      <c r="R25">
        <v>306.58000000018552</v>
      </c>
      <c r="S25">
        <f t="shared" si="0"/>
        <v>-65.723465327118035</v>
      </c>
    </row>
    <row r="26" spans="1:19" x14ac:dyDescent="0.15">
      <c r="A26" t="s">
        <v>18</v>
      </c>
      <c r="B26">
        <v>4.0999999999999996</v>
      </c>
      <c r="C26">
        <v>41</v>
      </c>
      <c r="D26">
        <v>15</v>
      </c>
      <c r="E26">
        <v>10</v>
      </c>
      <c r="F26">
        <v>3.6</v>
      </c>
      <c r="G26">
        <v>1</v>
      </c>
      <c r="H26">
        <v>2.8</v>
      </c>
      <c r="I26">
        <v>60</v>
      </c>
      <c r="K26">
        <v>4</v>
      </c>
      <c r="L26">
        <v>0.01</v>
      </c>
      <c r="M26">
        <v>22140</v>
      </c>
      <c r="N26">
        <v>0.32434507678410118</v>
      </c>
      <c r="O26">
        <v>-6.9001806684930904E-3</v>
      </c>
      <c r="P26">
        <v>-5</v>
      </c>
      <c r="Q26">
        <v>-22346.60000000014</v>
      </c>
      <c r="R26">
        <v>-152.77000000043699</v>
      </c>
      <c r="S26">
        <f t="shared" si="0"/>
        <v>146.27610132837742</v>
      </c>
    </row>
    <row r="27" spans="1:19" x14ac:dyDescent="0.15">
      <c r="A27" t="s">
        <v>18</v>
      </c>
      <c r="B27">
        <v>4.0999999999999996</v>
      </c>
      <c r="C27">
        <v>18</v>
      </c>
      <c r="D27">
        <v>30</v>
      </c>
      <c r="E27">
        <v>25</v>
      </c>
      <c r="F27">
        <v>2.2000000000000002</v>
      </c>
      <c r="G27">
        <v>1</v>
      </c>
      <c r="H27">
        <v>3</v>
      </c>
      <c r="I27">
        <v>60</v>
      </c>
      <c r="K27">
        <v>7</v>
      </c>
      <c r="L27">
        <v>0.01</v>
      </c>
      <c r="M27">
        <v>19084</v>
      </c>
      <c r="N27">
        <v>0.32603227834835458</v>
      </c>
      <c r="O27">
        <v>-1.318329490671882E-2</v>
      </c>
      <c r="P27">
        <v>-5.25</v>
      </c>
      <c r="Q27">
        <v>-19888.199999999939</v>
      </c>
      <c r="R27">
        <v>-251.5899999998237</v>
      </c>
      <c r="S27">
        <f t="shared" si="0"/>
        <v>79.050041734623292</v>
      </c>
    </row>
    <row r="28" spans="1:19" x14ac:dyDescent="0.15">
      <c r="A28" t="s">
        <v>18</v>
      </c>
      <c r="B28">
        <v>4.0999999999999996</v>
      </c>
      <c r="C28">
        <v>20</v>
      </c>
      <c r="D28">
        <v>30</v>
      </c>
      <c r="E28">
        <v>20</v>
      </c>
      <c r="F28">
        <v>3.2</v>
      </c>
      <c r="G28">
        <v>1</v>
      </c>
      <c r="H28">
        <v>1.1000000000000001</v>
      </c>
      <c r="I28">
        <v>40</v>
      </c>
      <c r="K28">
        <v>10</v>
      </c>
      <c r="L28">
        <v>0.01</v>
      </c>
      <c r="M28">
        <v>79829</v>
      </c>
      <c r="N28">
        <v>0.33004296684162399</v>
      </c>
      <c r="O28">
        <v>-4.4150621954468471E-3</v>
      </c>
      <c r="P28">
        <v>-2.1999999999989091</v>
      </c>
      <c r="Q28">
        <v>-22903.800000000101</v>
      </c>
      <c r="R28">
        <v>-352.45000000040642</v>
      </c>
      <c r="S28">
        <f t="shared" si="0"/>
        <v>64.984536813657797</v>
      </c>
    </row>
    <row r="29" spans="1:19" x14ac:dyDescent="0.15">
      <c r="A29" t="s">
        <v>18</v>
      </c>
      <c r="B29">
        <v>4.0999999999999996</v>
      </c>
      <c r="C29">
        <v>1</v>
      </c>
      <c r="D29">
        <v>30</v>
      </c>
      <c r="E29">
        <v>15</v>
      </c>
      <c r="F29">
        <v>3.2</v>
      </c>
      <c r="G29">
        <v>1</v>
      </c>
      <c r="H29">
        <v>3</v>
      </c>
      <c r="I29">
        <v>60</v>
      </c>
      <c r="K29">
        <v>5</v>
      </c>
      <c r="L29">
        <v>0.01</v>
      </c>
      <c r="M29">
        <v>20109</v>
      </c>
      <c r="N29">
        <v>0.32706748222189069</v>
      </c>
      <c r="O29">
        <v>-9.7309165050462651E-2</v>
      </c>
      <c r="P29">
        <v>-5.3000000000010914</v>
      </c>
      <c r="Q29">
        <v>-36903.599999999977</v>
      </c>
      <c r="R29">
        <v>-1956.7899999996571</v>
      </c>
      <c r="S29">
        <f t="shared" si="0"/>
        <v>18.859254186707027</v>
      </c>
    </row>
    <row r="30" spans="1:19" x14ac:dyDescent="0.15">
      <c r="A30" t="s">
        <v>18</v>
      </c>
      <c r="B30">
        <v>4.0999999999999996</v>
      </c>
      <c r="C30">
        <v>31</v>
      </c>
      <c r="D30">
        <v>15</v>
      </c>
      <c r="E30">
        <v>20</v>
      </c>
      <c r="F30">
        <v>3.6</v>
      </c>
      <c r="G30">
        <v>1</v>
      </c>
      <c r="H30">
        <v>3</v>
      </c>
      <c r="I30">
        <v>60</v>
      </c>
      <c r="K30">
        <v>5</v>
      </c>
      <c r="L30">
        <v>0.01</v>
      </c>
      <c r="M30">
        <v>18998</v>
      </c>
      <c r="N30">
        <v>0.32540267396568062</v>
      </c>
      <c r="O30">
        <v>-0.1452400252658218</v>
      </c>
      <c r="P30">
        <v>-5.2999999999992724</v>
      </c>
      <c r="Q30">
        <v>-26563.999999999989</v>
      </c>
      <c r="R30">
        <v>-2759.2700000000191</v>
      </c>
      <c r="S30">
        <f t="shared" si="0"/>
        <v>9.6271840015655616</v>
      </c>
    </row>
    <row r="31" spans="1:19" x14ac:dyDescent="0.15">
      <c r="A31" t="s">
        <v>18</v>
      </c>
      <c r="B31">
        <v>4.0999999999999996</v>
      </c>
      <c r="C31">
        <v>5</v>
      </c>
      <c r="D31">
        <v>30</v>
      </c>
      <c r="E31">
        <v>10</v>
      </c>
      <c r="F31">
        <v>3.8</v>
      </c>
      <c r="G31">
        <v>1</v>
      </c>
      <c r="H31">
        <v>3</v>
      </c>
      <c r="I31">
        <v>70</v>
      </c>
      <c r="K31">
        <v>4</v>
      </c>
      <c r="L31">
        <v>0.01</v>
      </c>
      <c r="M31">
        <v>20162</v>
      </c>
      <c r="N31">
        <v>0.33017557781966073</v>
      </c>
      <c r="O31">
        <v>-0.13760192441225191</v>
      </c>
      <c r="P31">
        <v>-5.2999999999992724</v>
      </c>
      <c r="Q31">
        <v>-36119.200000000012</v>
      </c>
      <c r="R31">
        <v>-2774.3299999997089</v>
      </c>
      <c r="S31">
        <f t="shared" si="0"/>
        <v>13.019071271263261</v>
      </c>
    </row>
    <row r="32" spans="1:19" x14ac:dyDescent="0.15">
      <c r="A32" t="s">
        <v>18</v>
      </c>
      <c r="B32">
        <v>4.0999999999999996</v>
      </c>
      <c r="C32">
        <v>4</v>
      </c>
      <c r="D32">
        <v>30</v>
      </c>
      <c r="E32">
        <v>15</v>
      </c>
      <c r="F32">
        <v>3.2</v>
      </c>
      <c r="G32">
        <v>1</v>
      </c>
      <c r="H32">
        <v>2.9</v>
      </c>
      <c r="I32">
        <v>40</v>
      </c>
      <c r="K32">
        <v>5</v>
      </c>
      <c r="L32">
        <v>0.01</v>
      </c>
      <c r="M32">
        <v>21259</v>
      </c>
      <c r="N32">
        <v>0.31779481631309092</v>
      </c>
      <c r="O32">
        <v>-0.15393950797308381</v>
      </c>
      <c r="P32">
        <v>-5.8000000000029104</v>
      </c>
      <c r="Q32">
        <v>-32273.600000000071</v>
      </c>
      <c r="R32">
        <v>-3272.5999999998262</v>
      </c>
      <c r="S32">
        <f t="shared" si="0"/>
        <v>9.861761290717407</v>
      </c>
    </row>
    <row r="33" spans="1:19" x14ac:dyDescent="0.15">
      <c r="A33" t="s">
        <v>18</v>
      </c>
      <c r="B33">
        <v>4.0999999999999996</v>
      </c>
      <c r="C33">
        <v>3</v>
      </c>
      <c r="D33">
        <v>25</v>
      </c>
      <c r="E33">
        <v>25</v>
      </c>
      <c r="F33">
        <v>2.8</v>
      </c>
      <c r="G33">
        <v>1</v>
      </c>
      <c r="H33">
        <v>3</v>
      </c>
      <c r="I33">
        <v>60</v>
      </c>
      <c r="K33">
        <v>4</v>
      </c>
      <c r="L33">
        <v>0.01</v>
      </c>
      <c r="M33">
        <v>19332</v>
      </c>
      <c r="N33">
        <v>0.32433271260086899</v>
      </c>
      <c r="O33">
        <v>-0.19298675770741111</v>
      </c>
      <c r="P33">
        <v>-5.3999999999996362</v>
      </c>
      <c r="Q33">
        <v>-26614.499999999931</v>
      </c>
      <c r="R33">
        <v>-3730.81999999961</v>
      </c>
      <c r="S33">
        <f t="shared" si="0"/>
        <v>7.133686428185416</v>
      </c>
    </row>
    <row r="34" spans="1:19" x14ac:dyDescent="0.15">
      <c r="A34" t="s">
        <v>18</v>
      </c>
      <c r="B34">
        <v>4.0999999999999996</v>
      </c>
      <c r="C34">
        <v>49</v>
      </c>
      <c r="D34">
        <v>20</v>
      </c>
      <c r="E34">
        <v>15</v>
      </c>
      <c r="F34">
        <v>2</v>
      </c>
      <c r="G34">
        <v>1</v>
      </c>
      <c r="H34">
        <v>3</v>
      </c>
      <c r="I34">
        <v>70</v>
      </c>
      <c r="K34">
        <v>5</v>
      </c>
      <c r="L34">
        <v>0.01</v>
      </c>
      <c r="M34">
        <v>21193</v>
      </c>
      <c r="N34">
        <v>0.32916529042608411</v>
      </c>
      <c r="O34">
        <v>-0.20775350351530819</v>
      </c>
      <c r="P34">
        <v>-5.3999999999996362</v>
      </c>
      <c r="Q34">
        <v>-29557.89999999994</v>
      </c>
      <c r="R34">
        <v>-4402.9199999998673</v>
      </c>
      <c r="S34">
        <f t="shared" si="0"/>
        <v>6.713249389042006</v>
      </c>
    </row>
    <row r="35" spans="1:19" x14ac:dyDescent="0.15">
      <c r="A35" t="s">
        <v>18</v>
      </c>
      <c r="B35">
        <v>4.0999999999999996</v>
      </c>
      <c r="C35">
        <v>40</v>
      </c>
      <c r="D35">
        <v>15</v>
      </c>
      <c r="E35">
        <v>15</v>
      </c>
      <c r="F35">
        <v>3.6</v>
      </c>
      <c r="G35">
        <v>1</v>
      </c>
      <c r="H35">
        <v>3</v>
      </c>
      <c r="I35">
        <v>50</v>
      </c>
      <c r="K35">
        <v>1</v>
      </c>
      <c r="L35">
        <v>0.01</v>
      </c>
      <c r="M35">
        <v>15909</v>
      </c>
      <c r="N35">
        <v>0.32220755547174562</v>
      </c>
      <c r="O35">
        <v>-0.29077691872525852</v>
      </c>
      <c r="P35">
        <v>-5.6999999999989086</v>
      </c>
      <c r="Q35">
        <v>-20296.100000000151</v>
      </c>
      <c r="R35">
        <v>-4625.970000000143</v>
      </c>
      <c r="S35">
        <f t="shared" si="0"/>
        <v>4.3874257723244039</v>
      </c>
    </row>
    <row r="36" spans="1:19" x14ac:dyDescent="0.15">
      <c r="A36" t="s">
        <v>18</v>
      </c>
      <c r="B36">
        <v>4.0999999999999996</v>
      </c>
      <c r="C36">
        <v>46</v>
      </c>
      <c r="D36">
        <v>10</v>
      </c>
      <c r="E36">
        <v>15</v>
      </c>
      <c r="F36">
        <v>3.6</v>
      </c>
      <c r="G36">
        <v>1</v>
      </c>
      <c r="H36">
        <v>3</v>
      </c>
      <c r="I36">
        <v>80</v>
      </c>
      <c r="K36">
        <v>2</v>
      </c>
      <c r="L36">
        <v>0.01</v>
      </c>
      <c r="M36">
        <v>18009</v>
      </c>
      <c r="N36">
        <v>0.32783608195902048</v>
      </c>
      <c r="O36">
        <v>-0.36934865900382619</v>
      </c>
      <c r="P36">
        <v>-5.2000000000007276</v>
      </c>
      <c r="Q36">
        <v>-25952.70000000003</v>
      </c>
      <c r="R36">
        <v>-6651.5999999999513</v>
      </c>
      <c r="S36">
        <f t="shared" si="0"/>
        <v>3.9017228937398851</v>
      </c>
    </row>
    <row r="37" spans="1:19" x14ac:dyDescent="0.15">
      <c r="A37" t="s">
        <v>18</v>
      </c>
      <c r="B37">
        <v>4.0999999999999996</v>
      </c>
      <c r="C37">
        <v>27</v>
      </c>
      <c r="D37">
        <v>25</v>
      </c>
      <c r="E37">
        <v>20</v>
      </c>
      <c r="F37">
        <v>2.8</v>
      </c>
      <c r="G37">
        <v>1</v>
      </c>
      <c r="H37">
        <v>2.9</v>
      </c>
      <c r="I37">
        <v>30</v>
      </c>
      <c r="K37">
        <v>7</v>
      </c>
      <c r="L37">
        <v>0.01</v>
      </c>
      <c r="M37">
        <v>21161</v>
      </c>
      <c r="N37">
        <v>0.30537309200888429</v>
      </c>
      <c r="O37">
        <v>-0.32766551675250871</v>
      </c>
      <c r="P37">
        <v>-6.8000000000010914</v>
      </c>
      <c r="Q37">
        <v>-31281.90000000002</v>
      </c>
      <c r="R37">
        <v>-6933.7299999997504</v>
      </c>
      <c r="S37">
        <f t="shared" si="0"/>
        <v>4.5115543870328301</v>
      </c>
    </row>
    <row r="38" spans="1:19" x14ac:dyDescent="0.15">
      <c r="A38" t="s">
        <v>18</v>
      </c>
      <c r="B38">
        <v>4.0999999999999996</v>
      </c>
      <c r="C38">
        <v>29</v>
      </c>
      <c r="D38">
        <v>25</v>
      </c>
      <c r="E38">
        <v>15</v>
      </c>
      <c r="F38">
        <v>3.6</v>
      </c>
      <c r="G38">
        <v>1</v>
      </c>
      <c r="H38">
        <v>3</v>
      </c>
      <c r="I38">
        <v>50</v>
      </c>
      <c r="K38">
        <v>10</v>
      </c>
      <c r="L38">
        <v>0.01</v>
      </c>
      <c r="M38">
        <v>19840</v>
      </c>
      <c r="N38">
        <v>0.32152217741935479</v>
      </c>
      <c r="O38">
        <v>-0.35692590725805268</v>
      </c>
      <c r="P38">
        <v>-5.6000000000003638</v>
      </c>
      <c r="Q38">
        <v>-28732.600000000119</v>
      </c>
      <c r="R38">
        <v>-7081.4099999997416</v>
      </c>
      <c r="S38">
        <f t="shared" si="0"/>
        <v>4.0574687809350349</v>
      </c>
    </row>
    <row r="39" spans="1:19" x14ac:dyDescent="0.15">
      <c r="A39" t="s">
        <v>18</v>
      </c>
      <c r="B39">
        <v>4.0999999999999996</v>
      </c>
      <c r="C39">
        <v>47</v>
      </c>
      <c r="D39">
        <v>25</v>
      </c>
      <c r="E39">
        <v>30</v>
      </c>
      <c r="F39">
        <v>2</v>
      </c>
      <c r="G39">
        <v>1</v>
      </c>
      <c r="H39">
        <v>2.7</v>
      </c>
      <c r="I39">
        <v>40</v>
      </c>
      <c r="K39">
        <v>4</v>
      </c>
      <c r="L39">
        <v>0.01</v>
      </c>
      <c r="M39">
        <v>22071</v>
      </c>
      <c r="N39">
        <v>0.32019391962303467</v>
      </c>
      <c r="O39">
        <v>-0.32390421820488863</v>
      </c>
      <c r="P39">
        <v>-5</v>
      </c>
      <c r="Q39">
        <v>-18863.94999999995</v>
      </c>
      <c r="R39">
        <v>-7148.8900000000976</v>
      </c>
      <c r="S39">
        <f t="shared" si="0"/>
        <v>2.6387243334279438</v>
      </c>
    </row>
    <row r="40" spans="1:19" x14ac:dyDescent="0.15">
      <c r="A40" t="s">
        <v>18</v>
      </c>
      <c r="B40">
        <v>4.0999999999999996</v>
      </c>
      <c r="C40">
        <v>23</v>
      </c>
      <c r="D40">
        <v>30</v>
      </c>
      <c r="E40">
        <v>30</v>
      </c>
      <c r="F40">
        <v>2.8</v>
      </c>
      <c r="G40">
        <v>1</v>
      </c>
      <c r="H40">
        <v>1</v>
      </c>
      <c r="I40">
        <v>50</v>
      </c>
      <c r="K40">
        <v>10</v>
      </c>
      <c r="L40">
        <v>0.01</v>
      </c>
      <c r="M40">
        <v>76365</v>
      </c>
      <c r="N40">
        <v>0.32899888692463819</v>
      </c>
      <c r="O40">
        <v>-9.8870424932889417E-2</v>
      </c>
      <c r="P40">
        <v>-1.899999999999636</v>
      </c>
      <c r="Q40">
        <v>-21392.500000000091</v>
      </c>
      <c r="R40">
        <v>-7550.2400000000889</v>
      </c>
      <c r="S40">
        <f t="shared" si="0"/>
        <v>2.8333536417385194</v>
      </c>
    </row>
    <row r="41" spans="1:19" x14ac:dyDescent="0.15">
      <c r="A41" t="s">
        <v>18</v>
      </c>
      <c r="B41">
        <v>4.0999999999999996</v>
      </c>
      <c r="C41">
        <v>35</v>
      </c>
      <c r="D41">
        <v>25</v>
      </c>
      <c r="E41">
        <v>25</v>
      </c>
      <c r="F41">
        <v>3</v>
      </c>
      <c r="G41">
        <v>1</v>
      </c>
      <c r="H41">
        <v>2.9</v>
      </c>
      <c r="I41">
        <v>30</v>
      </c>
      <c r="K41">
        <v>10</v>
      </c>
      <c r="L41">
        <v>0.01</v>
      </c>
      <c r="M41">
        <v>20401</v>
      </c>
      <c r="N41">
        <v>0.30243615509043681</v>
      </c>
      <c r="O41">
        <v>-0.42894956129600981</v>
      </c>
      <c r="P41">
        <v>-7</v>
      </c>
      <c r="Q41">
        <v>-29167.900000000081</v>
      </c>
      <c r="R41">
        <v>-8750.9999999998909</v>
      </c>
      <c r="S41">
        <f t="shared" si="0"/>
        <v>3.3330933607588213</v>
      </c>
    </row>
    <row r="42" spans="1:19" x14ac:dyDescent="0.15">
      <c r="A42" t="s">
        <v>18</v>
      </c>
      <c r="B42">
        <v>4.0999999999999996</v>
      </c>
      <c r="C42">
        <v>6</v>
      </c>
      <c r="D42">
        <v>15</v>
      </c>
      <c r="E42">
        <v>30</v>
      </c>
      <c r="F42">
        <v>2.2000000000000002</v>
      </c>
      <c r="G42">
        <v>1</v>
      </c>
      <c r="H42">
        <v>3</v>
      </c>
      <c r="I42">
        <v>60</v>
      </c>
      <c r="K42">
        <v>4</v>
      </c>
      <c r="L42">
        <v>0.01</v>
      </c>
      <c r="M42">
        <v>19558</v>
      </c>
      <c r="N42">
        <v>0.32697617343286628</v>
      </c>
      <c r="O42">
        <v>-0.48027712445035919</v>
      </c>
      <c r="P42">
        <v>-5.2999999999992724</v>
      </c>
      <c r="Q42">
        <v>-36092.100000000093</v>
      </c>
      <c r="R42">
        <v>-9393.2599999999511</v>
      </c>
      <c r="S42">
        <f t="shared" si="0"/>
        <v>3.8423401460196227</v>
      </c>
    </row>
    <row r="43" spans="1:19" x14ac:dyDescent="0.15">
      <c r="A43" t="s">
        <v>18</v>
      </c>
      <c r="B43">
        <v>4.0999999999999996</v>
      </c>
      <c r="C43">
        <v>43</v>
      </c>
      <c r="D43">
        <v>15</v>
      </c>
      <c r="E43">
        <v>15</v>
      </c>
      <c r="F43">
        <v>2.6</v>
      </c>
      <c r="G43">
        <v>1</v>
      </c>
      <c r="H43">
        <v>2.9</v>
      </c>
      <c r="I43">
        <v>70</v>
      </c>
      <c r="K43">
        <v>2</v>
      </c>
      <c r="L43">
        <v>0.01</v>
      </c>
      <c r="M43">
        <v>19918</v>
      </c>
      <c r="N43">
        <v>0.32769354352846669</v>
      </c>
      <c r="O43">
        <v>-0.59040616527763967</v>
      </c>
      <c r="P43">
        <v>-5.1999999999970896</v>
      </c>
      <c r="Q43">
        <v>-31952.800000000148</v>
      </c>
      <c r="R43">
        <v>-11759.710000000159</v>
      </c>
      <c r="S43">
        <f t="shared" si="0"/>
        <v>2.7171418342799027</v>
      </c>
    </row>
    <row r="44" spans="1:19" x14ac:dyDescent="0.15">
      <c r="A44" t="s">
        <v>18</v>
      </c>
      <c r="B44">
        <v>4.0999999999999996</v>
      </c>
      <c r="C44">
        <v>9</v>
      </c>
      <c r="D44">
        <v>30</v>
      </c>
      <c r="E44">
        <v>10</v>
      </c>
      <c r="F44">
        <v>3.6</v>
      </c>
      <c r="G44">
        <v>1</v>
      </c>
      <c r="H44">
        <v>2.9</v>
      </c>
      <c r="I44">
        <v>30</v>
      </c>
      <c r="K44">
        <v>5</v>
      </c>
      <c r="L44">
        <v>0.01</v>
      </c>
      <c r="M44">
        <v>21635</v>
      </c>
      <c r="N44">
        <v>0.30556967876126651</v>
      </c>
      <c r="O44">
        <v>-0.71080841229488734</v>
      </c>
      <c r="P44">
        <v>-6.8999999999996362</v>
      </c>
      <c r="Q44">
        <v>-39399.299999999988</v>
      </c>
      <c r="R44">
        <v>-15378.33999999978</v>
      </c>
      <c r="S44">
        <f t="shared" si="0"/>
        <v>2.5619995396122439</v>
      </c>
    </row>
    <row r="45" spans="1:19" x14ac:dyDescent="0.15">
      <c r="A45" t="s">
        <v>18</v>
      </c>
      <c r="B45">
        <v>4.0999999999999996</v>
      </c>
      <c r="C45">
        <v>30</v>
      </c>
      <c r="D45">
        <v>20</v>
      </c>
      <c r="E45">
        <v>30</v>
      </c>
      <c r="F45">
        <v>2.4</v>
      </c>
      <c r="G45">
        <v>1</v>
      </c>
      <c r="H45">
        <v>3</v>
      </c>
      <c r="I45">
        <v>80</v>
      </c>
      <c r="K45">
        <v>4</v>
      </c>
      <c r="L45">
        <v>0.01</v>
      </c>
      <c r="M45">
        <v>19558</v>
      </c>
      <c r="N45">
        <v>0.33142448103078032</v>
      </c>
      <c r="O45">
        <v>-0.93896155026076389</v>
      </c>
      <c r="P45">
        <v>-5.1000000000003638</v>
      </c>
      <c r="Q45">
        <v>-30386.100000000031</v>
      </c>
      <c r="R45">
        <v>-18364.209999999988</v>
      </c>
      <c r="S45">
        <f t="shared" si="0"/>
        <v>1.654636926935602</v>
      </c>
    </row>
    <row r="46" spans="1:19" x14ac:dyDescent="0.15">
      <c r="A46" t="s">
        <v>18</v>
      </c>
      <c r="B46">
        <v>4.0999999999999996</v>
      </c>
      <c r="C46">
        <v>36</v>
      </c>
      <c r="D46">
        <v>25</v>
      </c>
      <c r="E46">
        <v>30</v>
      </c>
      <c r="F46">
        <v>3.2</v>
      </c>
      <c r="G46">
        <v>1</v>
      </c>
      <c r="H46">
        <v>3</v>
      </c>
      <c r="I46">
        <v>30</v>
      </c>
      <c r="K46">
        <v>2</v>
      </c>
      <c r="L46">
        <v>0.01</v>
      </c>
      <c r="M46">
        <v>16875</v>
      </c>
      <c r="N46">
        <v>0.29878518518518521</v>
      </c>
      <c r="O46">
        <v>-1.324439703703687</v>
      </c>
      <c r="P46">
        <v>-7.1999999999989086</v>
      </c>
      <c r="Q46">
        <v>-30158.20000000003</v>
      </c>
      <c r="R46">
        <v>-22349.919999999791</v>
      </c>
      <c r="S46">
        <f t="shared" si="0"/>
        <v>1.3493650089127975</v>
      </c>
    </row>
    <row r="47" spans="1:19" x14ac:dyDescent="0.15">
      <c r="A47" t="s">
        <v>18</v>
      </c>
      <c r="B47">
        <v>4.0999999999999996</v>
      </c>
      <c r="C47">
        <v>38</v>
      </c>
      <c r="D47">
        <v>30</v>
      </c>
      <c r="E47">
        <v>30</v>
      </c>
      <c r="F47">
        <v>3.2</v>
      </c>
      <c r="G47">
        <v>1</v>
      </c>
      <c r="H47">
        <v>2.9</v>
      </c>
      <c r="I47">
        <v>60</v>
      </c>
      <c r="K47">
        <v>10</v>
      </c>
      <c r="L47">
        <v>0.01</v>
      </c>
      <c r="M47">
        <v>17616</v>
      </c>
      <c r="N47">
        <v>0.32430744777475018</v>
      </c>
      <c r="O47">
        <v>-1.5896633742052559</v>
      </c>
      <c r="P47">
        <v>-4.9000000000005457</v>
      </c>
      <c r="Q47">
        <v>-32544.389999999908</v>
      </c>
      <c r="R47">
        <v>-28003.509999999878</v>
      </c>
      <c r="S47">
        <f t="shared" si="0"/>
        <v>1.1621539585573397</v>
      </c>
    </row>
    <row r="48" spans="1:19" x14ac:dyDescent="0.15">
      <c r="A48" t="s">
        <v>18</v>
      </c>
      <c r="B48">
        <v>4.0999999999999996</v>
      </c>
      <c r="C48">
        <v>24</v>
      </c>
      <c r="D48">
        <v>25</v>
      </c>
      <c r="E48">
        <v>30</v>
      </c>
      <c r="F48">
        <v>2.4</v>
      </c>
      <c r="G48">
        <v>1</v>
      </c>
      <c r="H48">
        <v>3</v>
      </c>
      <c r="I48">
        <v>70</v>
      </c>
      <c r="K48">
        <v>10</v>
      </c>
      <c r="L48">
        <v>0.01</v>
      </c>
      <c r="M48">
        <v>18662</v>
      </c>
      <c r="N48">
        <v>0.32317007823384419</v>
      </c>
      <c r="O48">
        <v>-1.691377665845015</v>
      </c>
      <c r="P48">
        <v>-5.2999999999992724</v>
      </c>
      <c r="Q48">
        <v>-34582.68999999958</v>
      </c>
      <c r="R48">
        <v>-31564.48999999954</v>
      </c>
      <c r="S48">
        <f t="shared" si="0"/>
        <v>1.095620109813277</v>
      </c>
    </row>
    <row r="49" spans="1:19" x14ac:dyDescent="0.15">
      <c r="A49" t="s">
        <v>18</v>
      </c>
      <c r="B49">
        <v>4.0999999999999996</v>
      </c>
      <c r="C49">
        <v>21</v>
      </c>
      <c r="D49">
        <v>30</v>
      </c>
      <c r="E49">
        <v>20</v>
      </c>
      <c r="F49">
        <v>2.6</v>
      </c>
      <c r="G49">
        <v>1</v>
      </c>
      <c r="H49">
        <v>2.9</v>
      </c>
      <c r="I49">
        <v>80</v>
      </c>
      <c r="K49">
        <v>5</v>
      </c>
      <c r="L49">
        <v>0.01</v>
      </c>
      <c r="M49">
        <v>21393</v>
      </c>
      <c r="N49">
        <v>0.32730332351703828</v>
      </c>
      <c r="O49">
        <v>-1.6940789043144839</v>
      </c>
      <c r="P49">
        <v>-5.1999999999989086</v>
      </c>
      <c r="Q49">
        <v>-44604.789999999957</v>
      </c>
      <c r="R49">
        <v>-36241.429999999862</v>
      </c>
      <c r="S49">
        <f t="shared" si="0"/>
        <v>1.2307679360334327</v>
      </c>
    </row>
    <row r="50" spans="1:19" x14ac:dyDescent="0.15">
      <c r="A50" t="s">
        <v>18</v>
      </c>
      <c r="B50">
        <v>4.0999999999999996</v>
      </c>
      <c r="C50">
        <v>11</v>
      </c>
      <c r="D50">
        <v>5</v>
      </c>
      <c r="E50">
        <v>10</v>
      </c>
      <c r="F50">
        <v>2.4</v>
      </c>
      <c r="G50">
        <v>1</v>
      </c>
      <c r="H50">
        <v>1</v>
      </c>
      <c r="I50">
        <v>50</v>
      </c>
      <c r="K50">
        <v>4</v>
      </c>
      <c r="L50">
        <v>0.01</v>
      </c>
      <c r="M50">
        <v>89680</v>
      </c>
      <c r="N50">
        <v>0.32207850133809102</v>
      </c>
      <c r="O50">
        <v>-0.40553635147189587</v>
      </c>
      <c r="P50">
        <v>-2</v>
      </c>
      <c r="Q50">
        <v>-49930.999999999964</v>
      </c>
      <c r="R50">
        <v>-36368.499999999331</v>
      </c>
      <c r="S50">
        <f t="shared" si="0"/>
        <v>1.3729188721008807</v>
      </c>
    </row>
    <row r="51" spans="1:19" x14ac:dyDescent="0.15">
      <c r="A51" t="s">
        <v>18</v>
      </c>
      <c r="B51">
        <v>4.0999999999999996</v>
      </c>
      <c r="C51">
        <v>39</v>
      </c>
      <c r="D51">
        <v>30</v>
      </c>
      <c r="E51">
        <v>30</v>
      </c>
      <c r="F51">
        <v>3.6</v>
      </c>
      <c r="G51">
        <v>1</v>
      </c>
      <c r="H51">
        <v>2.9</v>
      </c>
      <c r="I51">
        <v>80</v>
      </c>
      <c r="K51">
        <v>5</v>
      </c>
      <c r="L51">
        <v>0.01</v>
      </c>
      <c r="M51">
        <v>17390</v>
      </c>
      <c r="N51">
        <v>0.32650948821161591</v>
      </c>
      <c r="O51">
        <v>-2.1253847038527791</v>
      </c>
      <c r="P51">
        <v>-4.8899999999985084</v>
      </c>
      <c r="Q51">
        <v>-42600.369999999879</v>
      </c>
      <c r="R51">
        <v>-36960.4399999999</v>
      </c>
      <c r="S51">
        <f t="shared" si="0"/>
        <v>1.1525936920664364</v>
      </c>
    </row>
  </sheetData>
  <phoneticPr fontId="2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36EB-E440-4ADB-B991-F53A1D9C7EA6}">
  <dimension ref="A1:S51"/>
  <sheetViews>
    <sheetView workbookViewId="0">
      <selection activeCell="A2" sqref="A2:S2"/>
    </sheetView>
  </sheetViews>
  <sheetFormatPr defaultRowHeight="13.5" x14ac:dyDescent="0.15"/>
  <sheetData>
    <row r="1" spans="1:1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9" x14ac:dyDescent="0.15">
      <c r="A2" s="2" t="s">
        <v>19</v>
      </c>
      <c r="B2" s="2">
        <v>4.0999999999999996</v>
      </c>
      <c r="C2" s="2">
        <v>11</v>
      </c>
      <c r="D2" s="2">
        <v>25</v>
      </c>
      <c r="E2" s="2">
        <v>25</v>
      </c>
      <c r="F2" s="2">
        <v>3</v>
      </c>
      <c r="G2" s="2">
        <v>1</v>
      </c>
      <c r="H2" s="2">
        <v>1</v>
      </c>
      <c r="I2" s="2">
        <v>60</v>
      </c>
      <c r="J2" s="2"/>
      <c r="K2" s="2">
        <v>5</v>
      </c>
      <c r="L2" s="2">
        <v>0.01</v>
      </c>
      <c r="M2" s="2">
        <v>87691</v>
      </c>
      <c r="N2" s="2">
        <v>0.32611100340970001</v>
      </c>
      <c r="O2" s="2">
        <v>0.89103727862608917</v>
      </c>
      <c r="P2" s="2">
        <v>-3.5</v>
      </c>
      <c r="Q2" s="2">
        <v>-26103.5</v>
      </c>
      <c r="R2" s="2">
        <v>78135.950000000215</v>
      </c>
      <c r="S2" s="2">
        <f t="shared" ref="S2:S33" si="0">Q2/R2</f>
        <v>-0.33407797563093466</v>
      </c>
    </row>
    <row r="3" spans="1:19" x14ac:dyDescent="0.15">
      <c r="A3" t="s">
        <v>19</v>
      </c>
      <c r="B3">
        <v>4.0999999999999996</v>
      </c>
      <c r="C3">
        <v>34</v>
      </c>
      <c r="D3">
        <v>25</v>
      </c>
      <c r="E3">
        <v>25</v>
      </c>
      <c r="F3">
        <v>3.6</v>
      </c>
      <c r="G3">
        <v>1</v>
      </c>
      <c r="H3">
        <v>2.7</v>
      </c>
      <c r="I3">
        <v>60</v>
      </c>
      <c r="K3">
        <v>2</v>
      </c>
      <c r="L3">
        <v>0.01</v>
      </c>
      <c r="M3">
        <v>21137</v>
      </c>
      <c r="N3">
        <v>0.3141410796234092</v>
      </c>
      <c r="O3">
        <v>1.6839859014997409</v>
      </c>
      <c r="P3">
        <v>-8.9000000000014552</v>
      </c>
      <c r="Q3">
        <v>-20250.90000000002</v>
      </c>
      <c r="R3">
        <v>35594.410000000033</v>
      </c>
      <c r="S3">
        <f t="shared" si="0"/>
        <v>-0.56893484117309434</v>
      </c>
    </row>
    <row r="4" spans="1:19" x14ac:dyDescent="0.15">
      <c r="A4" t="s">
        <v>19</v>
      </c>
      <c r="B4">
        <v>4.0999999999999996</v>
      </c>
      <c r="C4">
        <v>28</v>
      </c>
      <c r="D4">
        <v>25</v>
      </c>
      <c r="E4">
        <v>30</v>
      </c>
      <c r="F4">
        <v>3</v>
      </c>
      <c r="G4">
        <v>1</v>
      </c>
      <c r="H4">
        <v>1</v>
      </c>
      <c r="I4">
        <v>40</v>
      </c>
      <c r="K4">
        <v>1</v>
      </c>
      <c r="L4">
        <v>0.01</v>
      </c>
      <c r="M4">
        <v>64235</v>
      </c>
      <c r="N4">
        <v>0.32233206195999059</v>
      </c>
      <c r="O4">
        <v>0.48034529462130982</v>
      </c>
      <c r="P4">
        <v>-3.5</v>
      </c>
      <c r="Q4">
        <v>-19283.499999999891</v>
      </c>
      <c r="R4">
        <v>30854.97999999988</v>
      </c>
      <c r="S4">
        <f t="shared" si="0"/>
        <v>-0.62497204665178741</v>
      </c>
    </row>
    <row r="5" spans="1:19" x14ac:dyDescent="0.15">
      <c r="A5" t="s">
        <v>19</v>
      </c>
      <c r="B5">
        <v>4.0999999999999996</v>
      </c>
      <c r="C5">
        <v>23</v>
      </c>
      <c r="D5">
        <v>20</v>
      </c>
      <c r="E5">
        <v>25</v>
      </c>
      <c r="F5">
        <v>3.2</v>
      </c>
      <c r="G5">
        <v>1</v>
      </c>
      <c r="H5">
        <v>1.3</v>
      </c>
      <c r="I5">
        <v>40</v>
      </c>
      <c r="K5">
        <v>7</v>
      </c>
      <c r="L5">
        <v>0.01</v>
      </c>
      <c r="M5">
        <v>65411</v>
      </c>
      <c r="N5">
        <v>0.31641467031539039</v>
      </c>
      <c r="O5">
        <v>0.442918622250074</v>
      </c>
      <c r="P5">
        <v>-4.5</v>
      </c>
      <c r="Q5">
        <v>-25836.000000000149</v>
      </c>
      <c r="R5">
        <v>28971.749999999589</v>
      </c>
      <c r="S5">
        <f t="shared" si="0"/>
        <v>-0.8917652540837373</v>
      </c>
    </row>
    <row r="6" spans="1:19" x14ac:dyDescent="0.15">
      <c r="A6" t="s">
        <v>19</v>
      </c>
      <c r="B6">
        <v>4.0999999999999996</v>
      </c>
      <c r="C6">
        <v>6</v>
      </c>
      <c r="D6">
        <v>15</v>
      </c>
      <c r="E6">
        <v>30</v>
      </c>
      <c r="F6">
        <v>2.4</v>
      </c>
      <c r="G6">
        <v>1</v>
      </c>
      <c r="H6">
        <v>1</v>
      </c>
      <c r="I6">
        <v>60</v>
      </c>
      <c r="K6">
        <v>7</v>
      </c>
      <c r="L6">
        <v>0.01</v>
      </c>
      <c r="M6">
        <v>89636</v>
      </c>
      <c r="N6">
        <v>0.32384309875496448</v>
      </c>
      <c r="O6">
        <v>0.27224351822928933</v>
      </c>
      <c r="P6">
        <v>-3.5</v>
      </c>
      <c r="Q6">
        <v>-28519.39999999975</v>
      </c>
      <c r="R6">
        <v>24402.820000000571</v>
      </c>
      <c r="S6">
        <f t="shared" si="0"/>
        <v>-1.1686927986191384</v>
      </c>
    </row>
    <row r="7" spans="1:19" x14ac:dyDescent="0.15">
      <c r="A7" t="s">
        <v>19</v>
      </c>
      <c r="B7">
        <v>4.0999999999999996</v>
      </c>
      <c r="C7">
        <v>25</v>
      </c>
      <c r="D7">
        <v>15</v>
      </c>
      <c r="E7">
        <v>25</v>
      </c>
      <c r="F7">
        <v>3</v>
      </c>
      <c r="G7">
        <v>1</v>
      </c>
      <c r="H7">
        <v>1</v>
      </c>
      <c r="I7">
        <v>40</v>
      </c>
      <c r="K7">
        <v>1</v>
      </c>
      <c r="L7">
        <v>0.01</v>
      </c>
      <c r="M7">
        <v>68392</v>
      </c>
      <c r="N7">
        <v>0.320958591648146</v>
      </c>
      <c r="O7">
        <v>0.35568195110538992</v>
      </c>
      <c r="P7">
        <v>-3.5999999999985448</v>
      </c>
      <c r="Q7">
        <v>-15716.5</v>
      </c>
      <c r="R7">
        <v>24325.799999999828</v>
      </c>
      <c r="S7">
        <f t="shared" si="0"/>
        <v>-0.64608358204047189</v>
      </c>
    </row>
    <row r="8" spans="1:19" x14ac:dyDescent="0.15">
      <c r="A8" t="s">
        <v>19</v>
      </c>
      <c r="B8">
        <v>4.0999999999999996</v>
      </c>
      <c r="C8">
        <v>41</v>
      </c>
      <c r="D8">
        <v>30</v>
      </c>
      <c r="E8">
        <v>20</v>
      </c>
      <c r="F8">
        <v>3</v>
      </c>
      <c r="G8">
        <v>1</v>
      </c>
      <c r="H8">
        <v>1.1000000000000001</v>
      </c>
      <c r="I8">
        <v>60</v>
      </c>
      <c r="K8">
        <v>1</v>
      </c>
      <c r="L8">
        <v>0.01</v>
      </c>
      <c r="M8">
        <v>62119</v>
      </c>
      <c r="N8">
        <v>0.3259228255445194</v>
      </c>
      <c r="O8">
        <v>0.38905793718508319</v>
      </c>
      <c r="P8">
        <v>-3.8999999999978172</v>
      </c>
      <c r="Q8">
        <v>-13366.39999999989</v>
      </c>
      <c r="R8">
        <v>24167.890000000181</v>
      </c>
      <c r="S8">
        <f t="shared" si="0"/>
        <v>-0.55306441729086775</v>
      </c>
    </row>
    <row r="9" spans="1:19" x14ac:dyDescent="0.15">
      <c r="A9" t="s">
        <v>19</v>
      </c>
      <c r="B9">
        <v>4.0999999999999996</v>
      </c>
      <c r="C9">
        <v>42</v>
      </c>
      <c r="D9">
        <v>30</v>
      </c>
      <c r="E9">
        <v>20</v>
      </c>
      <c r="F9">
        <v>3.4</v>
      </c>
      <c r="G9">
        <v>1</v>
      </c>
      <c r="H9">
        <v>1.1000000000000001</v>
      </c>
      <c r="I9">
        <v>80</v>
      </c>
      <c r="K9">
        <v>1</v>
      </c>
      <c r="L9">
        <v>0.01</v>
      </c>
      <c r="M9">
        <v>61858</v>
      </c>
      <c r="N9">
        <v>0.32863978790132242</v>
      </c>
      <c r="O9">
        <v>0.36567606453490298</v>
      </c>
      <c r="P9">
        <v>-3.5999999999985448</v>
      </c>
      <c r="Q9">
        <v>-18688.5</v>
      </c>
      <c r="R9">
        <v>22619.990000000031</v>
      </c>
      <c r="S9">
        <f t="shared" si="0"/>
        <v>-0.82619399920159009</v>
      </c>
    </row>
    <row r="10" spans="1:19" x14ac:dyDescent="0.15">
      <c r="A10" t="s">
        <v>19</v>
      </c>
      <c r="B10">
        <v>4.0999999999999996</v>
      </c>
      <c r="C10">
        <v>49</v>
      </c>
      <c r="D10">
        <v>5</v>
      </c>
      <c r="E10">
        <v>25</v>
      </c>
      <c r="F10">
        <v>2.6</v>
      </c>
      <c r="G10">
        <v>1</v>
      </c>
      <c r="H10">
        <v>2.1</v>
      </c>
      <c r="I10">
        <v>80</v>
      </c>
      <c r="K10">
        <v>4</v>
      </c>
      <c r="L10">
        <v>0.01</v>
      </c>
      <c r="M10">
        <v>33391</v>
      </c>
      <c r="N10">
        <v>0.32164355664700067</v>
      </c>
      <c r="O10">
        <v>0.65587283998682322</v>
      </c>
      <c r="P10">
        <v>-6</v>
      </c>
      <c r="Q10">
        <v>-32478.5</v>
      </c>
      <c r="R10">
        <v>21900.250000000018</v>
      </c>
      <c r="S10">
        <f t="shared" si="0"/>
        <v>-1.4830196002328728</v>
      </c>
    </row>
    <row r="11" spans="1:19" x14ac:dyDescent="0.15">
      <c r="A11" t="s">
        <v>19</v>
      </c>
      <c r="B11">
        <v>4.0999999999999996</v>
      </c>
      <c r="C11">
        <v>31</v>
      </c>
      <c r="D11">
        <v>30</v>
      </c>
      <c r="E11">
        <v>10</v>
      </c>
      <c r="F11">
        <v>4</v>
      </c>
      <c r="G11">
        <v>1</v>
      </c>
      <c r="H11">
        <v>1</v>
      </c>
      <c r="I11">
        <v>100</v>
      </c>
      <c r="K11">
        <v>5</v>
      </c>
      <c r="L11">
        <v>0.01</v>
      </c>
      <c r="M11">
        <v>89700</v>
      </c>
      <c r="N11">
        <v>0.32835005574136011</v>
      </c>
      <c r="O11">
        <v>0.2407656633221941</v>
      </c>
      <c r="P11">
        <v>-3.5</v>
      </c>
      <c r="Q11">
        <v>-31886.200000000121</v>
      </c>
      <c r="R11">
        <v>21596.680000000812</v>
      </c>
      <c r="S11">
        <f t="shared" si="0"/>
        <v>-1.4764398972434154</v>
      </c>
    </row>
    <row r="12" spans="1:19" x14ac:dyDescent="0.15">
      <c r="A12" t="s">
        <v>19</v>
      </c>
      <c r="B12">
        <v>4.0999999999999996</v>
      </c>
      <c r="C12">
        <v>20</v>
      </c>
      <c r="D12">
        <v>15</v>
      </c>
      <c r="E12">
        <v>30</v>
      </c>
      <c r="F12">
        <v>2.6</v>
      </c>
      <c r="G12">
        <v>1</v>
      </c>
      <c r="H12">
        <v>1.3</v>
      </c>
      <c r="I12">
        <v>80</v>
      </c>
      <c r="K12">
        <v>1</v>
      </c>
      <c r="L12">
        <v>0.01</v>
      </c>
      <c r="M12">
        <v>50149</v>
      </c>
      <c r="N12">
        <v>0.3254501585275878</v>
      </c>
      <c r="O12">
        <v>0.27217850804602078</v>
      </c>
      <c r="P12">
        <v>-4</v>
      </c>
      <c r="Q12">
        <v>-25546.499999999782</v>
      </c>
      <c r="R12">
        <v>13649.4799999999</v>
      </c>
      <c r="S12">
        <f t="shared" si="0"/>
        <v>-1.8716097609579243</v>
      </c>
    </row>
    <row r="13" spans="1:19" x14ac:dyDescent="0.15">
      <c r="A13" t="s">
        <v>19</v>
      </c>
      <c r="B13">
        <v>4.0999999999999996</v>
      </c>
      <c r="C13">
        <v>19</v>
      </c>
      <c r="D13">
        <v>30</v>
      </c>
      <c r="E13">
        <v>25</v>
      </c>
      <c r="F13">
        <v>2.8</v>
      </c>
      <c r="G13">
        <v>1</v>
      </c>
      <c r="H13">
        <v>1.1000000000000001</v>
      </c>
      <c r="I13">
        <v>100</v>
      </c>
      <c r="K13">
        <v>7</v>
      </c>
      <c r="L13">
        <v>0.01</v>
      </c>
      <c r="M13">
        <v>75602</v>
      </c>
      <c r="N13">
        <v>0.32713420279886768</v>
      </c>
      <c r="O13">
        <v>0.14882423745403769</v>
      </c>
      <c r="P13">
        <v>-3.5</v>
      </c>
      <c r="Q13">
        <v>-40001.200000000223</v>
      </c>
      <c r="R13">
        <v>11251.410000000131</v>
      </c>
      <c r="S13">
        <f t="shared" si="0"/>
        <v>-3.5552166350706051</v>
      </c>
    </row>
    <row r="14" spans="1:19" x14ac:dyDescent="0.15">
      <c r="A14" t="s">
        <v>19</v>
      </c>
      <c r="B14">
        <v>4.0999999999999996</v>
      </c>
      <c r="C14">
        <v>16</v>
      </c>
      <c r="D14">
        <v>30</v>
      </c>
      <c r="E14">
        <v>25</v>
      </c>
      <c r="F14">
        <v>2.8</v>
      </c>
      <c r="G14">
        <v>1</v>
      </c>
      <c r="H14">
        <v>1.1000000000000001</v>
      </c>
      <c r="I14">
        <v>80</v>
      </c>
      <c r="K14">
        <v>1</v>
      </c>
      <c r="L14">
        <v>0.01</v>
      </c>
      <c r="M14">
        <v>57847</v>
      </c>
      <c r="N14">
        <v>0.32824519854097878</v>
      </c>
      <c r="O14">
        <v>0.14586080522758491</v>
      </c>
      <c r="P14">
        <v>-3.5</v>
      </c>
      <c r="Q14">
        <v>-15790.199999999941</v>
      </c>
      <c r="R14">
        <v>8437.6100000001061</v>
      </c>
      <c r="S14">
        <f t="shared" si="0"/>
        <v>-1.871406713512445</v>
      </c>
    </row>
    <row r="15" spans="1:19" x14ac:dyDescent="0.15">
      <c r="A15" t="s">
        <v>19</v>
      </c>
      <c r="B15">
        <v>4.0999999999999996</v>
      </c>
      <c r="C15">
        <v>38</v>
      </c>
      <c r="D15">
        <v>15</v>
      </c>
      <c r="E15">
        <v>20</v>
      </c>
      <c r="F15">
        <v>2.8</v>
      </c>
      <c r="G15">
        <v>1</v>
      </c>
      <c r="H15">
        <v>1.3</v>
      </c>
      <c r="I15">
        <v>40</v>
      </c>
      <c r="K15">
        <v>10</v>
      </c>
      <c r="L15">
        <v>0.01</v>
      </c>
      <c r="M15">
        <v>66063</v>
      </c>
      <c r="N15">
        <v>0.31421521880629089</v>
      </c>
      <c r="O15">
        <v>0.1110105505351022</v>
      </c>
      <c r="P15">
        <v>-4.5</v>
      </c>
      <c r="Q15">
        <v>-33412.699999999539</v>
      </c>
      <c r="R15">
        <v>7333.6900000004534</v>
      </c>
      <c r="S15">
        <f t="shared" si="0"/>
        <v>-4.5560556827459946</v>
      </c>
    </row>
    <row r="16" spans="1:19" x14ac:dyDescent="0.15">
      <c r="A16" t="s">
        <v>19</v>
      </c>
      <c r="B16">
        <v>4.0999999999999996</v>
      </c>
      <c r="C16">
        <v>30</v>
      </c>
      <c r="D16">
        <v>15</v>
      </c>
      <c r="E16">
        <v>20</v>
      </c>
      <c r="F16">
        <v>4</v>
      </c>
      <c r="G16">
        <v>1</v>
      </c>
      <c r="H16">
        <v>1.5</v>
      </c>
      <c r="I16">
        <v>100</v>
      </c>
      <c r="K16">
        <v>1</v>
      </c>
      <c r="L16">
        <v>0.01</v>
      </c>
      <c r="M16">
        <v>41332</v>
      </c>
      <c r="N16">
        <v>0.32788154456595381</v>
      </c>
      <c r="O16">
        <v>0.1143211071324869</v>
      </c>
      <c r="P16">
        <v>-4.5</v>
      </c>
      <c r="Q16">
        <v>-23359.299999999781</v>
      </c>
      <c r="R16">
        <v>4725.119999999948</v>
      </c>
      <c r="S16">
        <f t="shared" si="0"/>
        <v>-4.9436416429635726</v>
      </c>
    </row>
    <row r="17" spans="1:19" x14ac:dyDescent="0.15">
      <c r="A17" t="s">
        <v>19</v>
      </c>
      <c r="B17">
        <v>4.0999999999999996</v>
      </c>
      <c r="C17">
        <v>26</v>
      </c>
      <c r="D17">
        <v>5</v>
      </c>
      <c r="E17">
        <v>30</v>
      </c>
      <c r="F17">
        <v>3.8</v>
      </c>
      <c r="G17">
        <v>1</v>
      </c>
      <c r="H17">
        <v>1.1000000000000001</v>
      </c>
      <c r="I17">
        <v>60</v>
      </c>
      <c r="K17">
        <v>5</v>
      </c>
      <c r="L17">
        <v>0.01</v>
      </c>
      <c r="M17">
        <v>78881</v>
      </c>
      <c r="N17">
        <v>0.32116732800040559</v>
      </c>
      <c r="O17">
        <v>5.9429647190071801E-2</v>
      </c>
      <c r="P17">
        <v>-3.5999999999985448</v>
      </c>
      <c r="Q17">
        <v>-33259.200000000048</v>
      </c>
      <c r="R17">
        <v>4687.8700000000536</v>
      </c>
      <c r="S17">
        <f t="shared" si="0"/>
        <v>-7.0947359888392105</v>
      </c>
    </row>
    <row r="18" spans="1:19" x14ac:dyDescent="0.15">
      <c r="A18" t="s">
        <v>19</v>
      </c>
      <c r="B18">
        <v>4.0999999999999996</v>
      </c>
      <c r="C18">
        <v>21</v>
      </c>
      <c r="D18">
        <v>30</v>
      </c>
      <c r="E18">
        <v>10</v>
      </c>
      <c r="F18">
        <v>3.6</v>
      </c>
      <c r="G18">
        <v>1</v>
      </c>
      <c r="H18">
        <v>1</v>
      </c>
      <c r="I18">
        <v>80</v>
      </c>
      <c r="K18">
        <v>1</v>
      </c>
      <c r="L18">
        <v>0.01</v>
      </c>
      <c r="M18">
        <v>69370</v>
      </c>
      <c r="N18">
        <v>0.32782182499639612</v>
      </c>
      <c r="O18">
        <v>6.1254144442848657E-2</v>
      </c>
      <c r="P18">
        <v>-3.5</v>
      </c>
      <c r="Q18">
        <v>-19109.89999999998</v>
      </c>
      <c r="R18">
        <v>4249.2000000004118</v>
      </c>
      <c r="S18">
        <f t="shared" si="0"/>
        <v>-4.4972936082081629</v>
      </c>
    </row>
    <row r="19" spans="1:19" x14ac:dyDescent="0.15">
      <c r="A19" t="s">
        <v>19</v>
      </c>
      <c r="B19">
        <v>4.0999999999999996</v>
      </c>
      <c r="C19">
        <v>8</v>
      </c>
      <c r="D19">
        <v>10</v>
      </c>
      <c r="E19">
        <v>25</v>
      </c>
      <c r="F19">
        <v>2</v>
      </c>
      <c r="G19">
        <v>1</v>
      </c>
      <c r="H19">
        <v>1.2</v>
      </c>
      <c r="I19">
        <v>80</v>
      </c>
      <c r="K19">
        <v>10</v>
      </c>
      <c r="L19">
        <v>0.01</v>
      </c>
      <c r="M19">
        <v>73724</v>
      </c>
      <c r="N19">
        <v>0.32298844338343008</v>
      </c>
      <c r="O19">
        <v>5.2492675383865733E-2</v>
      </c>
      <c r="P19">
        <v>-4</v>
      </c>
      <c r="Q19">
        <v>-51703.699999999531</v>
      </c>
      <c r="R19">
        <v>3869.9700000002408</v>
      </c>
      <c r="S19">
        <f t="shared" si="0"/>
        <v>-13.360232766661321</v>
      </c>
    </row>
    <row r="20" spans="1:19" x14ac:dyDescent="0.15">
      <c r="A20" t="s">
        <v>19</v>
      </c>
      <c r="B20">
        <v>4.0999999999999996</v>
      </c>
      <c r="C20">
        <v>0</v>
      </c>
      <c r="D20">
        <v>10</v>
      </c>
      <c r="E20">
        <v>30</v>
      </c>
      <c r="F20">
        <v>3.6</v>
      </c>
      <c r="G20">
        <v>1</v>
      </c>
      <c r="H20">
        <v>1.2</v>
      </c>
      <c r="I20">
        <v>100</v>
      </c>
      <c r="K20">
        <v>7</v>
      </c>
      <c r="L20">
        <v>0.01</v>
      </c>
      <c r="M20">
        <v>71381</v>
      </c>
      <c r="N20">
        <v>0.32159818439080429</v>
      </c>
      <c r="O20">
        <v>2.685028228794416E-3</v>
      </c>
      <c r="P20">
        <v>-4</v>
      </c>
      <c r="Q20">
        <v>-40013.800000000003</v>
      </c>
      <c r="R20">
        <v>191.65999999957421</v>
      </c>
      <c r="S20">
        <f t="shared" si="0"/>
        <v>-208.77491391051288</v>
      </c>
    </row>
    <row r="21" spans="1:19" x14ac:dyDescent="0.15">
      <c r="A21" t="s">
        <v>19</v>
      </c>
      <c r="B21">
        <v>4.0999999999999996</v>
      </c>
      <c r="C21">
        <v>39</v>
      </c>
      <c r="D21">
        <v>15</v>
      </c>
      <c r="E21">
        <v>25</v>
      </c>
      <c r="F21">
        <v>3.6</v>
      </c>
      <c r="G21">
        <v>1</v>
      </c>
      <c r="H21">
        <v>1.1000000000000001</v>
      </c>
      <c r="I21">
        <v>80</v>
      </c>
      <c r="K21">
        <v>1</v>
      </c>
      <c r="L21">
        <v>0.01</v>
      </c>
      <c r="M21">
        <v>61008</v>
      </c>
      <c r="N21">
        <v>0.32415420928402833</v>
      </c>
      <c r="O21">
        <v>-8.1810582218775005E-3</v>
      </c>
      <c r="P21">
        <v>-3.5999999999985448</v>
      </c>
      <c r="Q21">
        <v>-26983.00000000008</v>
      </c>
      <c r="R21">
        <v>-499.11000000030248</v>
      </c>
      <c r="S21">
        <f t="shared" si="0"/>
        <v>54.062230770739369</v>
      </c>
    </row>
    <row r="22" spans="1:19" x14ac:dyDescent="0.15">
      <c r="A22" t="s">
        <v>19</v>
      </c>
      <c r="B22">
        <v>4.0999999999999996</v>
      </c>
      <c r="C22">
        <v>47</v>
      </c>
      <c r="D22">
        <v>25</v>
      </c>
      <c r="E22">
        <v>25</v>
      </c>
      <c r="F22">
        <v>2.4</v>
      </c>
      <c r="G22">
        <v>1</v>
      </c>
      <c r="H22">
        <v>2.2000000000000002</v>
      </c>
      <c r="I22">
        <v>80</v>
      </c>
      <c r="K22">
        <v>2</v>
      </c>
      <c r="L22">
        <v>0.01</v>
      </c>
      <c r="M22">
        <v>29346</v>
      </c>
      <c r="N22">
        <v>0.32024807469501798</v>
      </c>
      <c r="O22">
        <v>-4.6308866625770127E-2</v>
      </c>
      <c r="P22">
        <v>-6.5</v>
      </c>
      <c r="Q22">
        <v>-42894.099999999948</v>
      </c>
      <c r="R22">
        <v>-1358.979999999865</v>
      </c>
      <c r="S22">
        <f t="shared" si="0"/>
        <v>31.563452000768379</v>
      </c>
    </row>
    <row r="23" spans="1:19" x14ac:dyDescent="0.15">
      <c r="A23" t="s">
        <v>19</v>
      </c>
      <c r="B23">
        <v>4.0999999999999996</v>
      </c>
      <c r="C23">
        <v>12</v>
      </c>
      <c r="D23">
        <v>10</v>
      </c>
      <c r="E23">
        <v>30</v>
      </c>
      <c r="F23">
        <v>2.4</v>
      </c>
      <c r="G23">
        <v>1</v>
      </c>
      <c r="H23">
        <v>1</v>
      </c>
      <c r="I23">
        <v>100</v>
      </c>
      <c r="K23">
        <v>10</v>
      </c>
      <c r="L23">
        <v>0.01</v>
      </c>
      <c r="M23">
        <v>89852</v>
      </c>
      <c r="N23">
        <v>0.3249009482259716</v>
      </c>
      <c r="O23">
        <v>-2.5854738903975528E-2</v>
      </c>
      <c r="P23">
        <v>-3.5</v>
      </c>
      <c r="Q23">
        <v>-32949.899999999943</v>
      </c>
      <c r="R23">
        <v>-2323.100000000009</v>
      </c>
      <c r="S23">
        <f t="shared" si="0"/>
        <v>14.183590891481131</v>
      </c>
    </row>
    <row r="24" spans="1:19" x14ac:dyDescent="0.15">
      <c r="A24" t="s">
        <v>19</v>
      </c>
      <c r="B24">
        <v>4.0999999999999996</v>
      </c>
      <c r="C24">
        <v>10</v>
      </c>
      <c r="D24">
        <v>10</v>
      </c>
      <c r="E24">
        <v>20</v>
      </c>
      <c r="F24">
        <v>3.2</v>
      </c>
      <c r="G24">
        <v>1</v>
      </c>
      <c r="H24">
        <v>1.3</v>
      </c>
      <c r="I24">
        <v>40</v>
      </c>
      <c r="K24">
        <v>1</v>
      </c>
      <c r="L24">
        <v>0.01</v>
      </c>
      <c r="M24">
        <v>50586</v>
      </c>
      <c r="N24">
        <v>0.31502787332463528</v>
      </c>
      <c r="O24">
        <v>-6.8612461946004719E-2</v>
      </c>
      <c r="P24">
        <v>-4.5</v>
      </c>
      <c r="Q24">
        <v>-25269.350000000599</v>
      </c>
      <c r="R24">
        <v>-3470.8300000005952</v>
      </c>
      <c r="S24">
        <f t="shared" si="0"/>
        <v>7.2804919860656572</v>
      </c>
    </row>
    <row r="25" spans="1:19" x14ac:dyDescent="0.15">
      <c r="A25" t="s">
        <v>19</v>
      </c>
      <c r="B25">
        <v>4.0999999999999996</v>
      </c>
      <c r="C25">
        <v>45</v>
      </c>
      <c r="D25">
        <v>5</v>
      </c>
      <c r="E25">
        <v>20</v>
      </c>
      <c r="F25">
        <v>4</v>
      </c>
      <c r="G25">
        <v>1</v>
      </c>
      <c r="H25">
        <v>1.5</v>
      </c>
      <c r="I25">
        <v>80</v>
      </c>
      <c r="K25">
        <v>1</v>
      </c>
      <c r="L25">
        <v>0.01</v>
      </c>
      <c r="M25">
        <v>41342</v>
      </c>
      <c r="N25">
        <v>0.3275119732959218</v>
      </c>
      <c r="O25">
        <v>-0.1412043442504114</v>
      </c>
      <c r="P25">
        <v>-4.3999999999941792</v>
      </c>
      <c r="Q25">
        <v>-32284.5000000002</v>
      </c>
      <c r="R25">
        <v>-5837.6700000005076</v>
      </c>
      <c r="S25">
        <f t="shared" si="0"/>
        <v>5.530374276037767</v>
      </c>
    </row>
    <row r="26" spans="1:19" x14ac:dyDescent="0.15">
      <c r="A26" t="s">
        <v>19</v>
      </c>
      <c r="B26">
        <v>4.0999999999999996</v>
      </c>
      <c r="C26">
        <v>18</v>
      </c>
      <c r="D26">
        <v>10</v>
      </c>
      <c r="E26">
        <v>20</v>
      </c>
      <c r="F26">
        <v>2.8</v>
      </c>
      <c r="G26">
        <v>1</v>
      </c>
      <c r="H26">
        <v>2.9</v>
      </c>
      <c r="I26">
        <v>80</v>
      </c>
      <c r="K26">
        <v>10</v>
      </c>
      <c r="L26">
        <v>0.01</v>
      </c>
      <c r="M26">
        <v>21300</v>
      </c>
      <c r="N26">
        <v>0.31436619718309861</v>
      </c>
      <c r="O26">
        <v>-0.31888403755866879</v>
      </c>
      <c r="P26">
        <v>-9.0999999999985448</v>
      </c>
      <c r="Q26">
        <v>-45460.099999999977</v>
      </c>
      <c r="R26">
        <v>-6792.229999999643</v>
      </c>
      <c r="S26">
        <f t="shared" si="0"/>
        <v>6.6929565106014319</v>
      </c>
    </row>
    <row r="27" spans="1:19" x14ac:dyDescent="0.15">
      <c r="A27" t="s">
        <v>19</v>
      </c>
      <c r="B27">
        <v>4.0999999999999996</v>
      </c>
      <c r="C27">
        <v>3</v>
      </c>
      <c r="D27">
        <v>5</v>
      </c>
      <c r="E27">
        <v>15</v>
      </c>
      <c r="F27">
        <v>3.2</v>
      </c>
      <c r="G27">
        <v>1</v>
      </c>
      <c r="H27">
        <v>1</v>
      </c>
      <c r="I27">
        <v>80</v>
      </c>
      <c r="K27">
        <v>5</v>
      </c>
      <c r="L27">
        <v>0.01</v>
      </c>
      <c r="M27">
        <v>89209</v>
      </c>
      <c r="N27">
        <v>0.32294947819166231</v>
      </c>
      <c r="O27">
        <v>-7.9081370713706869E-2</v>
      </c>
      <c r="P27">
        <v>-3.5</v>
      </c>
      <c r="Q27">
        <v>-29333.79999999949</v>
      </c>
      <c r="R27">
        <v>-7054.7699999990764</v>
      </c>
      <c r="S27">
        <f t="shared" si="0"/>
        <v>4.1580094035671369</v>
      </c>
    </row>
    <row r="28" spans="1:19" x14ac:dyDescent="0.15">
      <c r="A28" t="s">
        <v>19</v>
      </c>
      <c r="B28">
        <v>4.0999999999999996</v>
      </c>
      <c r="C28">
        <v>27</v>
      </c>
      <c r="D28">
        <v>5</v>
      </c>
      <c r="E28">
        <v>15</v>
      </c>
      <c r="F28">
        <v>3</v>
      </c>
      <c r="G28">
        <v>1</v>
      </c>
      <c r="H28">
        <v>1.4</v>
      </c>
      <c r="I28">
        <v>80</v>
      </c>
      <c r="K28">
        <v>1</v>
      </c>
      <c r="L28">
        <v>0.01</v>
      </c>
      <c r="M28">
        <v>46523</v>
      </c>
      <c r="N28">
        <v>0.32407626335361012</v>
      </c>
      <c r="O28">
        <v>-0.18300260086408709</v>
      </c>
      <c r="P28">
        <v>-4.0999999999985448</v>
      </c>
      <c r="Q28">
        <v>-25132.899999999889</v>
      </c>
      <c r="R28">
        <v>-8513.8299999999253</v>
      </c>
      <c r="S28">
        <f t="shared" si="0"/>
        <v>2.9520086729474406</v>
      </c>
    </row>
    <row r="29" spans="1:19" x14ac:dyDescent="0.15">
      <c r="A29" t="s">
        <v>19</v>
      </c>
      <c r="B29">
        <v>4.0999999999999996</v>
      </c>
      <c r="C29">
        <v>1</v>
      </c>
      <c r="D29">
        <v>5</v>
      </c>
      <c r="E29">
        <v>20</v>
      </c>
      <c r="F29">
        <v>2.6</v>
      </c>
      <c r="G29">
        <v>1</v>
      </c>
      <c r="H29">
        <v>1.1000000000000001</v>
      </c>
      <c r="I29">
        <v>100</v>
      </c>
      <c r="K29">
        <v>1</v>
      </c>
      <c r="L29">
        <v>0.01</v>
      </c>
      <c r="M29">
        <v>62098</v>
      </c>
      <c r="N29">
        <v>0.32513124416245293</v>
      </c>
      <c r="O29">
        <v>-0.1379612869979755</v>
      </c>
      <c r="P29">
        <v>-3.5</v>
      </c>
      <c r="Q29">
        <v>-19618.199999999761</v>
      </c>
      <c r="R29">
        <v>-8567.1200000002827</v>
      </c>
      <c r="S29">
        <f t="shared" si="0"/>
        <v>2.2899410770479594</v>
      </c>
    </row>
    <row r="30" spans="1:19" x14ac:dyDescent="0.15">
      <c r="A30" t="s">
        <v>19</v>
      </c>
      <c r="B30">
        <v>4.0999999999999996</v>
      </c>
      <c r="C30">
        <v>48</v>
      </c>
      <c r="D30">
        <v>5</v>
      </c>
      <c r="E30">
        <v>25</v>
      </c>
      <c r="F30">
        <v>3</v>
      </c>
      <c r="G30">
        <v>1</v>
      </c>
      <c r="H30">
        <v>1.1000000000000001</v>
      </c>
      <c r="I30">
        <v>80</v>
      </c>
      <c r="K30">
        <v>2</v>
      </c>
      <c r="L30">
        <v>0.01</v>
      </c>
      <c r="M30">
        <v>71267</v>
      </c>
      <c r="N30">
        <v>0.32449801450881888</v>
      </c>
      <c r="O30">
        <v>-0.15791333997502199</v>
      </c>
      <c r="P30">
        <v>-3.5</v>
      </c>
      <c r="Q30">
        <v>-36096.199999999939</v>
      </c>
      <c r="R30">
        <v>-11254.0099999999</v>
      </c>
      <c r="S30">
        <f t="shared" si="0"/>
        <v>3.2074078484025037</v>
      </c>
    </row>
    <row r="31" spans="1:19" x14ac:dyDescent="0.15">
      <c r="A31" t="s">
        <v>19</v>
      </c>
      <c r="B31">
        <v>4.0999999999999996</v>
      </c>
      <c r="C31">
        <v>2</v>
      </c>
      <c r="D31">
        <v>10</v>
      </c>
      <c r="E31">
        <v>20</v>
      </c>
      <c r="F31">
        <v>3.6</v>
      </c>
      <c r="G31">
        <v>1</v>
      </c>
      <c r="H31">
        <v>1.3</v>
      </c>
      <c r="I31">
        <v>60</v>
      </c>
      <c r="K31">
        <v>7</v>
      </c>
      <c r="L31">
        <v>0.01</v>
      </c>
      <c r="M31">
        <v>65034</v>
      </c>
      <c r="N31">
        <v>0.31995571547190699</v>
      </c>
      <c r="O31">
        <v>-0.2330833102684905</v>
      </c>
      <c r="P31">
        <v>-4</v>
      </c>
      <c r="Q31">
        <v>-56804.400000000067</v>
      </c>
      <c r="R31">
        <v>-15158.34000000095</v>
      </c>
      <c r="S31">
        <f t="shared" si="0"/>
        <v>3.7474024200536804</v>
      </c>
    </row>
    <row r="32" spans="1:19" x14ac:dyDescent="0.15">
      <c r="A32" t="s">
        <v>19</v>
      </c>
      <c r="B32">
        <v>4.0999999999999996</v>
      </c>
      <c r="C32">
        <v>9</v>
      </c>
      <c r="D32">
        <v>10</v>
      </c>
      <c r="E32">
        <v>15</v>
      </c>
      <c r="F32">
        <v>3.4</v>
      </c>
      <c r="G32">
        <v>1</v>
      </c>
      <c r="H32">
        <v>1.2</v>
      </c>
      <c r="I32">
        <v>60</v>
      </c>
      <c r="K32">
        <v>2</v>
      </c>
      <c r="L32">
        <v>0.01</v>
      </c>
      <c r="M32">
        <v>64733</v>
      </c>
      <c r="N32">
        <v>0.32013038172184199</v>
      </c>
      <c r="O32">
        <v>-0.26058779911328261</v>
      </c>
      <c r="P32">
        <v>-4</v>
      </c>
      <c r="Q32">
        <v>-41560.5</v>
      </c>
      <c r="R32">
        <v>-16868.630000000041</v>
      </c>
      <c r="S32">
        <f t="shared" si="0"/>
        <v>2.4637744736828004</v>
      </c>
    </row>
    <row r="33" spans="1:19" x14ac:dyDescent="0.15">
      <c r="A33" t="s">
        <v>19</v>
      </c>
      <c r="B33">
        <v>4.0999999999999996</v>
      </c>
      <c r="C33">
        <v>22</v>
      </c>
      <c r="D33">
        <v>10</v>
      </c>
      <c r="E33">
        <v>25</v>
      </c>
      <c r="F33">
        <v>3</v>
      </c>
      <c r="G33">
        <v>1</v>
      </c>
      <c r="H33">
        <v>1.2</v>
      </c>
      <c r="I33">
        <v>100</v>
      </c>
      <c r="K33">
        <v>3</v>
      </c>
      <c r="L33">
        <v>0.01</v>
      </c>
      <c r="M33">
        <v>68415</v>
      </c>
      <c r="N33">
        <v>0.32162537455236417</v>
      </c>
      <c r="O33">
        <v>-0.27819308631148021</v>
      </c>
      <c r="P33">
        <v>-4</v>
      </c>
      <c r="Q33">
        <v>-37707.300000000178</v>
      </c>
      <c r="R33">
        <v>-19032.579999999911</v>
      </c>
      <c r="S33">
        <f t="shared" si="0"/>
        <v>1.9811975044896883</v>
      </c>
    </row>
    <row r="34" spans="1:19" x14ac:dyDescent="0.15">
      <c r="A34" t="s">
        <v>19</v>
      </c>
      <c r="B34">
        <v>4.0999999999999996</v>
      </c>
      <c r="C34">
        <v>14</v>
      </c>
      <c r="D34">
        <v>15</v>
      </c>
      <c r="E34">
        <v>15</v>
      </c>
      <c r="F34">
        <v>4</v>
      </c>
      <c r="G34">
        <v>1</v>
      </c>
      <c r="H34">
        <v>1.4</v>
      </c>
      <c r="I34">
        <v>80</v>
      </c>
      <c r="K34">
        <v>5</v>
      </c>
      <c r="L34">
        <v>0.01</v>
      </c>
      <c r="M34">
        <v>58953</v>
      </c>
      <c r="N34">
        <v>0.32405475548318152</v>
      </c>
      <c r="O34">
        <v>-0.32921513748240222</v>
      </c>
      <c r="P34">
        <v>-4.3999999999941792</v>
      </c>
      <c r="Q34">
        <v>-53533.300000000148</v>
      </c>
      <c r="R34">
        <v>-19408.219999999961</v>
      </c>
      <c r="S34">
        <f t="shared" ref="S34:S65" si="1">Q34/R34</f>
        <v>2.7582797392032994</v>
      </c>
    </row>
    <row r="35" spans="1:19" x14ac:dyDescent="0.15">
      <c r="A35" t="s">
        <v>19</v>
      </c>
      <c r="B35">
        <v>4.0999999999999996</v>
      </c>
      <c r="C35">
        <v>4</v>
      </c>
      <c r="D35">
        <v>10</v>
      </c>
      <c r="E35">
        <v>20</v>
      </c>
      <c r="F35">
        <v>3.2</v>
      </c>
      <c r="G35">
        <v>1</v>
      </c>
      <c r="H35">
        <v>1.2</v>
      </c>
      <c r="I35">
        <v>100</v>
      </c>
      <c r="K35">
        <v>4</v>
      </c>
      <c r="L35">
        <v>0.01</v>
      </c>
      <c r="M35">
        <v>70676</v>
      </c>
      <c r="N35">
        <v>0.32193389552323282</v>
      </c>
      <c r="O35">
        <v>-0.33970400135831202</v>
      </c>
      <c r="P35">
        <v>-4</v>
      </c>
      <c r="Q35">
        <v>-47175.800000000309</v>
      </c>
      <c r="R35">
        <v>-24008.919999999958</v>
      </c>
      <c r="S35">
        <f t="shared" si="1"/>
        <v>1.9649280350803113</v>
      </c>
    </row>
    <row r="36" spans="1:19" x14ac:dyDescent="0.15">
      <c r="A36" t="s">
        <v>19</v>
      </c>
      <c r="B36">
        <v>4.0999999999999996</v>
      </c>
      <c r="C36">
        <v>36</v>
      </c>
      <c r="D36">
        <v>30</v>
      </c>
      <c r="E36">
        <v>25</v>
      </c>
      <c r="F36">
        <v>3.6</v>
      </c>
      <c r="G36">
        <v>1</v>
      </c>
      <c r="H36">
        <v>1.2</v>
      </c>
      <c r="I36">
        <v>80</v>
      </c>
      <c r="K36">
        <v>7</v>
      </c>
      <c r="L36">
        <v>0.01</v>
      </c>
      <c r="M36">
        <v>67604</v>
      </c>
      <c r="N36">
        <v>0.32505473048932021</v>
      </c>
      <c r="O36">
        <v>-0.41384415123365198</v>
      </c>
      <c r="P36">
        <v>-3.9000000000014552</v>
      </c>
      <c r="Q36">
        <v>-54502.199999999561</v>
      </c>
      <c r="R36">
        <v>-27977.519999999819</v>
      </c>
      <c r="S36">
        <f t="shared" si="1"/>
        <v>1.948071165707322</v>
      </c>
    </row>
    <row r="37" spans="1:19" x14ac:dyDescent="0.15">
      <c r="A37" t="s">
        <v>19</v>
      </c>
      <c r="B37">
        <v>4.0999999999999996</v>
      </c>
      <c r="C37">
        <v>7</v>
      </c>
      <c r="D37">
        <v>10</v>
      </c>
      <c r="E37">
        <v>5</v>
      </c>
      <c r="F37">
        <v>3.8</v>
      </c>
      <c r="G37">
        <v>1</v>
      </c>
      <c r="H37">
        <v>1</v>
      </c>
      <c r="I37">
        <v>100</v>
      </c>
      <c r="K37">
        <v>1</v>
      </c>
      <c r="L37">
        <v>0.01</v>
      </c>
      <c r="M37">
        <v>71343</v>
      </c>
      <c r="N37">
        <v>0.31987721290105547</v>
      </c>
      <c r="O37">
        <v>-0.39852501296553261</v>
      </c>
      <c r="P37">
        <v>-3.5</v>
      </c>
      <c r="Q37">
        <v>-40355.699999999881</v>
      </c>
      <c r="R37">
        <v>-28431.96999999999</v>
      </c>
      <c r="S37">
        <f t="shared" si="1"/>
        <v>1.4193775528041108</v>
      </c>
    </row>
    <row r="38" spans="1:19" x14ac:dyDescent="0.15">
      <c r="A38" t="s">
        <v>19</v>
      </c>
      <c r="B38">
        <v>4.0999999999999996</v>
      </c>
      <c r="C38">
        <v>40</v>
      </c>
      <c r="D38">
        <v>20</v>
      </c>
      <c r="E38">
        <v>5</v>
      </c>
      <c r="F38">
        <v>2.8</v>
      </c>
      <c r="G38">
        <v>1</v>
      </c>
      <c r="H38">
        <v>1.1000000000000001</v>
      </c>
      <c r="I38">
        <v>100</v>
      </c>
      <c r="K38">
        <v>1</v>
      </c>
      <c r="L38">
        <v>0.01</v>
      </c>
      <c r="M38">
        <v>67464</v>
      </c>
      <c r="N38">
        <v>0.32263132930155342</v>
      </c>
      <c r="O38">
        <v>-0.4367271433653393</v>
      </c>
      <c r="P38">
        <v>-4</v>
      </c>
      <c r="Q38">
        <v>-46600.099999999256</v>
      </c>
      <c r="R38">
        <v>-29463.359999999251</v>
      </c>
      <c r="S38">
        <f t="shared" si="1"/>
        <v>1.5816288434177379</v>
      </c>
    </row>
    <row r="39" spans="1:19" x14ac:dyDescent="0.15">
      <c r="A39" t="s">
        <v>19</v>
      </c>
      <c r="B39">
        <v>4.0999999999999996</v>
      </c>
      <c r="C39">
        <v>35</v>
      </c>
      <c r="D39">
        <v>10</v>
      </c>
      <c r="E39">
        <v>5</v>
      </c>
      <c r="F39">
        <v>2</v>
      </c>
      <c r="G39">
        <v>1</v>
      </c>
      <c r="H39">
        <v>1.2</v>
      </c>
      <c r="I39">
        <v>60</v>
      </c>
      <c r="K39">
        <v>1</v>
      </c>
      <c r="L39">
        <v>0.01</v>
      </c>
      <c r="M39">
        <v>65786</v>
      </c>
      <c r="N39">
        <v>0.31762077037667591</v>
      </c>
      <c r="O39">
        <v>-0.46107515276806732</v>
      </c>
      <c r="P39">
        <v>-4</v>
      </c>
      <c r="Q39">
        <v>-48721.999999999913</v>
      </c>
      <c r="R39">
        <v>-30332.289999999892</v>
      </c>
      <c r="S39">
        <f t="shared" si="1"/>
        <v>1.6062750290202319</v>
      </c>
    </row>
    <row r="40" spans="1:19" x14ac:dyDescent="0.15">
      <c r="A40" t="s">
        <v>19</v>
      </c>
      <c r="B40">
        <v>4.0999999999999996</v>
      </c>
      <c r="C40">
        <v>24</v>
      </c>
      <c r="D40">
        <v>30</v>
      </c>
      <c r="E40">
        <v>25</v>
      </c>
      <c r="F40">
        <v>3.6</v>
      </c>
      <c r="G40">
        <v>1</v>
      </c>
      <c r="H40">
        <v>1.2</v>
      </c>
      <c r="I40">
        <v>100</v>
      </c>
      <c r="K40">
        <v>10</v>
      </c>
      <c r="L40">
        <v>0.01</v>
      </c>
      <c r="M40">
        <v>67767</v>
      </c>
      <c r="N40">
        <v>0.32557144332787352</v>
      </c>
      <c r="O40">
        <v>-0.47313515427862718</v>
      </c>
      <c r="P40">
        <v>-3.9000000000014552</v>
      </c>
      <c r="Q40">
        <v>-57725.39999999939</v>
      </c>
      <c r="R40">
        <v>-32062.94999999963</v>
      </c>
      <c r="S40">
        <f t="shared" si="1"/>
        <v>1.8003770707311728</v>
      </c>
    </row>
    <row r="41" spans="1:19" x14ac:dyDescent="0.15">
      <c r="A41" t="s">
        <v>19</v>
      </c>
      <c r="B41">
        <v>4.0999999999999996</v>
      </c>
      <c r="C41">
        <v>44</v>
      </c>
      <c r="D41">
        <v>25</v>
      </c>
      <c r="E41">
        <v>5</v>
      </c>
      <c r="F41">
        <v>3.4</v>
      </c>
      <c r="G41">
        <v>1</v>
      </c>
      <c r="H41">
        <v>2.9</v>
      </c>
      <c r="I41">
        <v>60</v>
      </c>
      <c r="K41">
        <v>1</v>
      </c>
      <c r="L41">
        <v>0.01</v>
      </c>
      <c r="M41">
        <v>19650</v>
      </c>
      <c r="N41">
        <v>0.30325699745547069</v>
      </c>
      <c r="O41">
        <v>-1.692491603053436</v>
      </c>
      <c r="P41">
        <v>-10.600000000005821</v>
      </c>
      <c r="Q41">
        <v>-40567.660000000003</v>
      </c>
      <c r="R41">
        <v>-33257.460000000006</v>
      </c>
      <c r="S41">
        <f t="shared" si="1"/>
        <v>1.2198063231527603</v>
      </c>
    </row>
    <row r="42" spans="1:19" x14ac:dyDescent="0.15">
      <c r="A42" t="s">
        <v>19</v>
      </c>
      <c r="B42">
        <v>4.0999999999999996</v>
      </c>
      <c r="C42">
        <v>5</v>
      </c>
      <c r="D42">
        <v>5</v>
      </c>
      <c r="E42">
        <v>15</v>
      </c>
      <c r="F42">
        <v>2.2000000000000002</v>
      </c>
      <c r="G42">
        <v>1</v>
      </c>
      <c r="H42">
        <v>1.1000000000000001</v>
      </c>
      <c r="I42">
        <v>100</v>
      </c>
      <c r="K42">
        <v>1</v>
      </c>
      <c r="L42">
        <v>0.01</v>
      </c>
      <c r="M42">
        <v>63547</v>
      </c>
      <c r="N42">
        <v>0.32212378239728068</v>
      </c>
      <c r="O42">
        <v>-0.53567296646576079</v>
      </c>
      <c r="P42">
        <v>-3.5</v>
      </c>
      <c r="Q42">
        <v>-37091.079999999703</v>
      </c>
      <c r="R42">
        <v>-34040.409999999698</v>
      </c>
      <c r="S42">
        <f t="shared" si="1"/>
        <v>1.0896190733307864</v>
      </c>
    </row>
    <row r="43" spans="1:19" x14ac:dyDescent="0.15">
      <c r="A43" t="s">
        <v>19</v>
      </c>
      <c r="B43">
        <v>4.0999999999999996</v>
      </c>
      <c r="C43">
        <v>15</v>
      </c>
      <c r="D43">
        <v>5</v>
      </c>
      <c r="E43">
        <v>15</v>
      </c>
      <c r="F43">
        <v>2.8</v>
      </c>
      <c r="G43">
        <v>1</v>
      </c>
      <c r="H43">
        <v>1.1000000000000001</v>
      </c>
      <c r="I43">
        <v>100</v>
      </c>
      <c r="K43">
        <v>3</v>
      </c>
      <c r="L43">
        <v>0.01</v>
      </c>
      <c r="M43">
        <v>77507</v>
      </c>
      <c r="N43">
        <v>0.32448682054524108</v>
      </c>
      <c r="O43">
        <v>-0.45745106893570342</v>
      </c>
      <c r="P43">
        <v>-3.5</v>
      </c>
      <c r="Q43">
        <v>-51240.879999999561</v>
      </c>
      <c r="R43">
        <v>-35455.659999999567</v>
      </c>
      <c r="S43">
        <f t="shared" si="1"/>
        <v>1.4452101582652865</v>
      </c>
    </row>
    <row r="44" spans="1:19" x14ac:dyDescent="0.15">
      <c r="A44" t="s">
        <v>19</v>
      </c>
      <c r="B44">
        <v>4.0999999999999996</v>
      </c>
      <c r="C44">
        <v>33</v>
      </c>
      <c r="D44">
        <v>10</v>
      </c>
      <c r="E44">
        <v>15</v>
      </c>
      <c r="F44">
        <v>2.6</v>
      </c>
      <c r="G44">
        <v>1</v>
      </c>
      <c r="H44">
        <v>1.2</v>
      </c>
      <c r="I44">
        <v>60</v>
      </c>
      <c r="K44">
        <v>5</v>
      </c>
      <c r="L44">
        <v>0.01</v>
      </c>
      <c r="M44">
        <v>73252</v>
      </c>
      <c r="N44">
        <v>0.31862611259760831</v>
      </c>
      <c r="O44">
        <v>-0.49953625839566979</v>
      </c>
      <c r="P44">
        <v>-4</v>
      </c>
      <c r="Q44">
        <v>-69737.799999999406</v>
      </c>
      <c r="R44">
        <v>-36592.02999999965</v>
      </c>
      <c r="S44">
        <f t="shared" si="1"/>
        <v>1.9058193819801763</v>
      </c>
    </row>
    <row r="45" spans="1:19" x14ac:dyDescent="0.15">
      <c r="A45" t="s">
        <v>19</v>
      </c>
      <c r="B45">
        <v>4.0999999999999996</v>
      </c>
      <c r="C45">
        <v>37</v>
      </c>
      <c r="D45">
        <v>25</v>
      </c>
      <c r="E45">
        <v>5</v>
      </c>
      <c r="F45">
        <v>3</v>
      </c>
      <c r="G45">
        <v>1</v>
      </c>
      <c r="H45">
        <v>1</v>
      </c>
      <c r="I45">
        <v>80</v>
      </c>
      <c r="K45">
        <v>2</v>
      </c>
      <c r="L45">
        <v>0.01</v>
      </c>
      <c r="M45">
        <v>85499</v>
      </c>
      <c r="N45">
        <v>0.32234295137954833</v>
      </c>
      <c r="O45">
        <v>-0.42862267394939879</v>
      </c>
      <c r="P45">
        <v>-3.5999999999985448</v>
      </c>
      <c r="Q45">
        <v>-48240.299999999341</v>
      </c>
      <c r="R45">
        <v>-36646.809999999641</v>
      </c>
      <c r="S45">
        <f t="shared" si="1"/>
        <v>1.3163574128280147</v>
      </c>
    </row>
    <row r="46" spans="1:19" x14ac:dyDescent="0.15">
      <c r="A46" t="s">
        <v>19</v>
      </c>
      <c r="B46">
        <v>4.0999999999999996</v>
      </c>
      <c r="C46">
        <v>13</v>
      </c>
      <c r="D46">
        <v>15</v>
      </c>
      <c r="E46">
        <v>15</v>
      </c>
      <c r="F46">
        <v>3.6</v>
      </c>
      <c r="G46">
        <v>1</v>
      </c>
      <c r="H46">
        <v>1.3</v>
      </c>
      <c r="I46">
        <v>100</v>
      </c>
      <c r="K46">
        <v>10</v>
      </c>
      <c r="L46">
        <v>0.01</v>
      </c>
      <c r="M46">
        <v>65842</v>
      </c>
      <c r="N46">
        <v>0.32256006804167547</v>
      </c>
      <c r="O46">
        <v>-0.57050757874912228</v>
      </c>
      <c r="P46">
        <v>-4</v>
      </c>
      <c r="Q46">
        <v>-70004.699999999444</v>
      </c>
      <c r="R46">
        <v>-37563.359999999651</v>
      </c>
      <c r="S46">
        <f t="shared" si="1"/>
        <v>1.8636431884687656</v>
      </c>
    </row>
    <row r="47" spans="1:19" x14ac:dyDescent="0.15">
      <c r="A47" t="s">
        <v>19</v>
      </c>
      <c r="B47">
        <v>4.0999999999999996</v>
      </c>
      <c r="C47">
        <v>32</v>
      </c>
      <c r="D47">
        <v>30</v>
      </c>
      <c r="E47">
        <v>30</v>
      </c>
      <c r="F47">
        <v>3.4</v>
      </c>
      <c r="G47">
        <v>1</v>
      </c>
      <c r="H47">
        <v>1.2</v>
      </c>
      <c r="I47">
        <v>40</v>
      </c>
      <c r="K47">
        <v>7</v>
      </c>
      <c r="L47">
        <v>0.01</v>
      </c>
      <c r="M47">
        <v>62957</v>
      </c>
      <c r="N47">
        <v>0.31936083358482781</v>
      </c>
      <c r="O47">
        <v>-0.71992614006384437</v>
      </c>
      <c r="P47">
        <v>-4</v>
      </c>
      <c r="Q47">
        <v>-61667.349999999184</v>
      </c>
      <c r="R47">
        <v>-45324.389999999359</v>
      </c>
      <c r="S47">
        <f t="shared" si="1"/>
        <v>1.3605776051260714</v>
      </c>
    </row>
    <row r="48" spans="1:19" x14ac:dyDescent="0.15">
      <c r="A48" t="s">
        <v>19</v>
      </c>
      <c r="B48">
        <v>4.0999999999999996</v>
      </c>
      <c r="C48">
        <v>29</v>
      </c>
      <c r="D48">
        <v>10</v>
      </c>
      <c r="E48">
        <v>15</v>
      </c>
      <c r="F48">
        <v>2</v>
      </c>
      <c r="G48">
        <v>1</v>
      </c>
      <c r="H48">
        <v>1.2</v>
      </c>
      <c r="I48">
        <v>100</v>
      </c>
      <c r="K48">
        <v>2</v>
      </c>
      <c r="L48">
        <v>0.01</v>
      </c>
      <c r="M48">
        <v>67367</v>
      </c>
      <c r="N48">
        <v>0.32131459022963771</v>
      </c>
      <c r="O48">
        <v>-0.69830837056718653</v>
      </c>
      <c r="P48">
        <v>-4</v>
      </c>
      <c r="Q48">
        <v>-72322.199999999721</v>
      </c>
      <c r="R48">
        <v>-47042.940000000053</v>
      </c>
      <c r="S48">
        <f t="shared" si="1"/>
        <v>1.5373656493407861</v>
      </c>
    </row>
    <row r="49" spans="1:19" x14ac:dyDescent="0.15">
      <c r="A49" t="s">
        <v>19</v>
      </c>
      <c r="B49">
        <v>4.0999999999999996</v>
      </c>
      <c r="C49">
        <v>17</v>
      </c>
      <c r="D49">
        <v>10</v>
      </c>
      <c r="E49">
        <v>5</v>
      </c>
      <c r="F49">
        <v>3.8</v>
      </c>
      <c r="G49">
        <v>1</v>
      </c>
      <c r="H49">
        <v>1.2</v>
      </c>
      <c r="I49">
        <v>100</v>
      </c>
      <c r="K49">
        <v>5</v>
      </c>
      <c r="L49">
        <v>0.01</v>
      </c>
      <c r="M49">
        <v>75325</v>
      </c>
      <c r="N49">
        <v>0.31840690341851968</v>
      </c>
      <c r="O49">
        <v>-0.6501323597743065</v>
      </c>
      <c r="P49">
        <v>-4</v>
      </c>
      <c r="Q49">
        <v>-89233.799999999464</v>
      </c>
      <c r="R49">
        <v>-48971.219999999521</v>
      </c>
      <c r="S49">
        <f t="shared" si="1"/>
        <v>1.8221682041002927</v>
      </c>
    </row>
    <row r="50" spans="1:19" x14ac:dyDescent="0.15">
      <c r="A50" t="s">
        <v>19</v>
      </c>
      <c r="B50">
        <v>4.0999999999999996</v>
      </c>
      <c r="C50">
        <v>43</v>
      </c>
      <c r="D50">
        <v>10</v>
      </c>
      <c r="E50">
        <v>5</v>
      </c>
      <c r="F50">
        <v>4</v>
      </c>
      <c r="G50">
        <v>1</v>
      </c>
      <c r="H50">
        <v>1.2</v>
      </c>
      <c r="I50">
        <v>100</v>
      </c>
      <c r="K50">
        <v>4</v>
      </c>
      <c r="L50">
        <v>0.01</v>
      </c>
      <c r="M50">
        <v>73827</v>
      </c>
      <c r="N50">
        <v>0.31920571064786601</v>
      </c>
      <c r="O50">
        <v>-0.66869681823722427</v>
      </c>
      <c r="P50">
        <v>-4</v>
      </c>
      <c r="Q50">
        <v>-74812.999999999389</v>
      </c>
      <c r="R50">
        <v>-49367.879999999677</v>
      </c>
      <c r="S50">
        <f t="shared" si="1"/>
        <v>1.5154185271881206</v>
      </c>
    </row>
    <row r="51" spans="1:19" x14ac:dyDescent="0.15">
      <c r="A51" t="s">
        <v>19</v>
      </c>
      <c r="B51">
        <v>4.0999999999999996</v>
      </c>
      <c r="C51">
        <v>46</v>
      </c>
      <c r="D51">
        <v>10</v>
      </c>
      <c r="E51">
        <v>20</v>
      </c>
      <c r="F51">
        <v>3.8</v>
      </c>
      <c r="G51">
        <v>1</v>
      </c>
      <c r="H51">
        <v>2.9</v>
      </c>
      <c r="I51">
        <v>100</v>
      </c>
      <c r="K51">
        <v>3</v>
      </c>
      <c r="L51">
        <v>0.01</v>
      </c>
      <c r="M51">
        <v>19694</v>
      </c>
      <c r="N51">
        <v>0.31806641616736059</v>
      </c>
      <c r="O51">
        <v>-2.7258555905351818</v>
      </c>
      <c r="P51">
        <v>-8.5999999999985448</v>
      </c>
      <c r="Q51">
        <v>-74026.979999999923</v>
      </c>
      <c r="R51">
        <v>-53682.999999999978</v>
      </c>
      <c r="S51">
        <f t="shared" si="1"/>
        <v>1.3789650354860934</v>
      </c>
    </row>
  </sheetData>
  <phoneticPr fontId="2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099D-EA9B-4E84-A1A1-BEDDCDED05F9}">
  <dimension ref="A1:S51"/>
  <sheetViews>
    <sheetView workbookViewId="0">
      <selection activeCell="S2" sqref="A2:S2"/>
    </sheetView>
  </sheetViews>
  <sheetFormatPr defaultRowHeight="13.5" x14ac:dyDescent="0.15"/>
  <sheetData>
    <row r="1" spans="1:1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9" x14ac:dyDescent="0.15">
      <c r="A2" s="2" t="s">
        <v>20</v>
      </c>
      <c r="B2" s="2">
        <v>4.0999999999999996</v>
      </c>
      <c r="C2" s="2">
        <v>22</v>
      </c>
      <c r="D2" s="2">
        <v>10</v>
      </c>
      <c r="E2" s="2">
        <v>15</v>
      </c>
      <c r="F2" s="2">
        <v>3.2</v>
      </c>
      <c r="G2" s="2">
        <v>1</v>
      </c>
      <c r="H2" s="2">
        <v>2</v>
      </c>
      <c r="I2" s="2">
        <v>8</v>
      </c>
      <c r="J2" s="2"/>
      <c r="K2" s="2">
        <v>7</v>
      </c>
      <c r="L2" s="2">
        <v>0.01</v>
      </c>
      <c r="M2" s="2">
        <v>27901</v>
      </c>
      <c r="N2" s="2">
        <v>0.32192394537830188</v>
      </c>
      <c r="O2" s="2">
        <v>9.9539443030715519E-2</v>
      </c>
      <c r="P2" s="2">
        <v>-0.39999999999986358</v>
      </c>
      <c r="Q2" s="2">
        <v>-1131.9700000000071</v>
      </c>
      <c r="R2" s="2">
        <v>2777.2499999999941</v>
      </c>
      <c r="S2" s="2">
        <f>Q2/R2</f>
        <v>-0.40758664146188117</v>
      </c>
    </row>
    <row r="3" spans="1:19" x14ac:dyDescent="0.15">
      <c r="A3" t="s">
        <v>20</v>
      </c>
      <c r="B3">
        <v>4.0999999999999996</v>
      </c>
      <c r="C3">
        <v>14</v>
      </c>
      <c r="D3">
        <v>5</v>
      </c>
      <c r="E3">
        <v>10</v>
      </c>
      <c r="F3">
        <v>3.2</v>
      </c>
      <c r="G3">
        <v>1</v>
      </c>
      <c r="H3">
        <v>2</v>
      </c>
      <c r="I3">
        <v>9</v>
      </c>
      <c r="K3">
        <v>3</v>
      </c>
      <c r="L3">
        <v>0.01</v>
      </c>
      <c r="M3">
        <v>27784</v>
      </c>
      <c r="N3">
        <v>0.32720270659372303</v>
      </c>
      <c r="O3">
        <v>9.9594370860927484E-2</v>
      </c>
      <c r="P3">
        <v>-0.38999999999987273</v>
      </c>
      <c r="Q3">
        <v>-1868.400000000004</v>
      </c>
      <c r="R3">
        <v>2767.1300000000092</v>
      </c>
      <c r="S3">
        <f>Q3/R3</f>
        <v>-0.67521222349510057</v>
      </c>
    </row>
    <row r="4" spans="1:19" x14ac:dyDescent="0.15">
      <c r="A4" t="s">
        <v>20</v>
      </c>
      <c r="B4">
        <v>4.0999999999999996</v>
      </c>
      <c r="C4">
        <v>21</v>
      </c>
      <c r="D4">
        <v>25</v>
      </c>
      <c r="E4">
        <v>25</v>
      </c>
      <c r="F4">
        <v>2.8</v>
      </c>
      <c r="G4">
        <v>1</v>
      </c>
      <c r="H4">
        <v>1.1000000000000001</v>
      </c>
      <c r="I4">
        <v>9</v>
      </c>
      <c r="K4">
        <v>4</v>
      </c>
      <c r="L4">
        <v>0.01</v>
      </c>
      <c r="M4">
        <v>59640</v>
      </c>
      <c r="N4">
        <v>0.3249329309188464</v>
      </c>
      <c r="O4">
        <v>4.0432092555332519E-2</v>
      </c>
      <c r="P4">
        <v>-0.26999999999998181</v>
      </c>
      <c r="Q4">
        <v>-1776.2600000000091</v>
      </c>
      <c r="R4">
        <v>2411.3700000000308</v>
      </c>
      <c r="S4">
        <f>Q4/R4</f>
        <v>-0.73661860270302204</v>
      </c>
    </row>
    <row r="5" spans="1:19" x14ac:dyDescent="0.15">
      <c r="A5" t="s">
        <v>20</v>
      </c>
      <c r="B5">
        <v>4.0999999999999996</v>
      </c>
      <c r="C5">
        <v>36</v>
      </c>
      <c r="D5">
        <v>20</v>
      </c>
      <c r="E5">
        <v>25</v>
      </c>
      <c r="F5">
        <v>2.2000000000000002</v>
      </c>
      <c r="G5">
        <v>1</v>
      </c>
      <c r="H5">
        <v>2.9</v>
      </c>
      <c r="I5">
        <v>8</v>
      </c>
      <c r="K5">
        <v>10</v>
      </c>
      <c r="L5">
        <v>0.01</v>
      </c>
      <c r="M5">
        <v>16365</v>
      </c>
      <c r="N5">
        <v>0.32263978001833182</v>
      </c>
      <c r="O5">
        <v>0.13514268255423159</v>
      </c>
      <c r="P5">
        <v>-0.57999999999992724</v>
      </c>
      <c r="Q5">
        <v>-1365.42</v>
      </c>
      <c r="R5">
        <v>2211.610000000001</v>
      </c>
      <c r="S5">
        <f>Q5/R5</f>
        <v>-0.61738733320974282</v>
      </c>
    </row>
    <row r="6" spans="1:19" x14ac:dyDescent="0.15">
      <c r="A6" t="s">
        <v>20</v>
      </c>
      <c r="B6">
        <v>4.0999999999999996</v>
      </c>
      <c r="C6">
        <v>43</v>
      </c>
      <c r="D6">
        <v>25</v>
      </c>
      <c r="E6">
        <v>25</v>
      </c>
      <c r="F6">
        <v>2.8</v>
      </c>
      <c r="G6">
        <v>1</v>
      </c>
      <c r="H6">
        <v>1.9</v>
      </c>
      <c r="I6">
        <v>10</v>
      </c>
      <c r="K6">
        <v>3</v>
      </c>
      <c r="L6">
        <v>0.01</v>
      </c>
      <c r="M6">
        <v>28652</v>
      </c>
      <c r="N6">
        <v>0.32259528130671511</v>
      </c>
      <c r="O6">
        <v>6.6279491833031848E-2</v>
      </c>
      <c r="P6">
        <v>-0.39000000000009999</v>
      </c>
      <c r="Q6">
        <v>-1263.750000000002</v>
      </c>
      <c r="R6">
        <v>1899.0400000000291</v>
      </c>
      <c r="S6">
        <f>Q6/R6</f>
        <v>-0.66546781531720378</v>
      </c>
    </row>
    <row r="7" spans="1:19" x14ac:dyDescent="0.15">
      <c r="A7" t="s">
        <v>20</v>
      </c>
      <c r="B7">
        <v>4.0999999999999996</v>
      </c>
      <c r="C7">
        <v>2</v>
      </c>
      <c r="D7">
        <v>30</v>
      </c>
      <c r="E7">
        <v>25</v>
      </c>
      <c r="F7">
        <v>2.8</v>
      </c>
      <c r="G7">
        <v>1</v>
      </c>
      <c r="H7">
        <v>1.4</v>
      </c>
      <c r="I7">
        <v>5</v>
      </c>
      <c r="K7">
        <v>7</v>
      </c>
      <c r="L7">
        <v>0.01</v>
      </c>
      <c r="M7">
        <v>45616</v>
      </c>
      <c r="N7">
        <v>0.32514907050157837</v>
      </c>
      <c r="O7">
        <v>4.0416739740441472E-2</v>
      </c>
      <c r="P7">
        <v>-0.30999999999994537</v>
      </c>
      <c r="Q7">
        <v>-1460.6500000000119</v>
      </c>
      <c r="R7">
        <v>1843.6499999999769</v>
      </c>
      <c r="S7">
        <f>Q7/R7</f>
        <v>-0.79225991918207372</v>
      </c>
    </row>
    <row r="8" spans="1:19" x14ac:dyDescent="0.15">
      <c r="A8" t="s">
        <v>20</v>
      </c>
      <c r="B8">
        <v>4.0999999999999996</v>
      </c>
      <c r="C8">
        <v>4</v>
      </c>
      <c r="D8">
        <v>5</v>
      </c>
      <c r="E8">
        <v>20</v>
      </c>
      <c r="F8">
        <v>2.4</v>
      </c>
      <c r="G8">
        <v>1</v>
      </c>
      <c r="H8">
        <v>2</v>
      </c>
      <c r="I8">
        <v>8</v>
      </c>
      <c r="K8">
        <v>10</v>
      </c>
      <c r="L8">
        <v>0.01</v>
      </c>
      <c r="M8">
        <v>28507</v>
      </c>
      <c r="N8">
        <v>0.32395551969691649</v>
      </c>
      <c r="O8">
        <v>5.691830076823258E-2</v>
      </c>
      <c r="P8">
        <v>-0.39000000000009999</v>
      </c>
      <c r="Q8">
        <v>-2667.6000000000072</v>
      </c>
      <c r="R8">
        <v>1622.5700000000079</v>
      </c>
      <c r="S8">
        <f>Q8/R8</f>
        <v>-1.6440584997873708</v>
      </c>
    </row>
    <row r="9" spans="1:19" x14ac:dyDescent="0.15">
      <c r="A9" t="s">
        <v>20</v>
      </c>
      <c r="B9">
        <v>4.0999999999999996</v>
      </c>
      <c r="C9">
        <v>6</v>
      </c>
      <c r="D9">
        <v>10</v>
      </c>
      <c r="E9">
        <v>15</v>
      </c>
      <c r="F9">
        <v>2.8</v>
      </c>
      <c r="G9">
        <v>1</v>
      </c>
      <c r="H9">
        <v>1.9</v>
      </c>
      <c r="I9">
        <v>8</v>
      </c>
      <c r="K9">
        <v>7</v>
      </c>
      <c r="L9">
        <v>0.01</v>
      </c>
      <c r="M9">
        <v>30494</v>
      </c>
      <c r="N9">
        <v>0.32193218338033708</v>
      </c>
      <c r="O9">
        <v>4.2784482193218787E-2</v>
      </c>
      <c r="P9">
        <v>-0.38999999999987273</v>
      </c>
      <c r="Q9">
        <v>-1610.560000000004</v>
      </c>
      <c r="R9">
        <v>1304.6700000000139</v>
      </c>
      <c r="S9">
        <f>Q9/R9</f>
        <v>-1.2344577556010232</v>
      </c>
    </row>
    <row r="10" spans="1:19" x14ac:dyDescent="0.15">
      <c r="A10" t="s">
        <v>20</v>
      </c>
      <c r="B10">
        <v>4.0999999999999996</v>
      </c>
      <c r="C10">
        <v>38</v>
      </c>
      <c r="D10">
        <v>25</v>
      </c>
      <c r="E10">
        <v>30</v>
      </c>
      <c r="F10">
        <v>3.2</v>
      </c>
      <c r="G10">
        <v>1</v>
      </c>
      <c r="H10">
        <v>1.3</v>
      </c>
      <c r="I10">
        <v>10</v>
      </c>
      <c r="K10">
        <v>2</v>
      </c>
      <c r="L10">
        <v>0.01</v>
      </c>
      <c r="M10">
        <v>44253</v>
      </c>
      <c r="N10">
        <v>0.3256276410638827</v>
      </c>
      <c r="O10">
        <v>2.8820418954647369E-2</v>
      </c>
      <c r="P10">
        <v>-0.28999999999996362</v>
      </c>
      <c r="Q10">
        <v>-1611.6499999999969</v>
      </c>
      <c r="R10">
        <v>1275.3900000000101</v>
      </c>
      <c r="S10">
        <f>Q10/R10</f>
        <v>-1.2636526866291755</v>
      </c>
    </row>
    <row r="11" spans="1:19" x14ac:dyDescent="0.15">
      <c r="A11" t="s">
        <v>20</v>
      </c>
      <c r="B11">
        <v>4.0999999999999996</v>
      </c>
      <c r="C11">
        <v>10</v>
      </c>
      <c r="D11">
        <v>30</v>
      </c>
      <c r="E11">
        <v>20</v>
      </c>
      <c r="F11">
        <v>3.8</v>
      </c>
      <c r="G11">
        <v>1</v>
      </c>
      <c r="H11">
        <v>1.4</v>
      </c>
      <c r="I11">
        <v>5</v>
      </c>
      <c r="K11">
        <v>5</v>
      </c>
      <c r="L11">
        <v>0.01</v>
      </c>
      <c r="M11">
        <v>44782</v>
      </c>
      <c r="N11">
        <v>0.32492965923808681</v>
      </c>
      <c r="O11">
        <v>2.84422312536287E-2</v>
      </c>
      <c r="P11">
        <v>-0.3100000000001728</v>
      </c>
      <c r="Q11">
        <v>-1921.150000000003</v>
      </c>
      <c r="R11">
        <v>1273.7</v>
      </c>
      <c r="S11">
        <f>Q11/R11</f>
        <v>-1.5083222108816856</v>
      </c>
    </row>
    <row r="12" spans="1:19" x14ac:dyDescent="0.15">
      <c r="A12" t="s">
        <v>20</v>
      </c>
      <c r="B12">
        <v>4.0999999999999996</v>
      </c>
      <c r="C12">
        <v>18</v>
      </c>
      <c r="D12">
        <v>30</v>
      </c>
      <c r="E12">
        <v>25</v>
      </c>
      <c r="F12">
        <v>3</v>
      </c>
      <c r="G12">
        <v>1</v>
      </c>
      <c r="H12">
        <v>1.3</v>
      </c>
      <c r="I12">
        <v>10</v>
      </c>
      <c r="K12">
        <v>7</v>
      </c>
      <c r="L12">
        <v>0.01</v>
      </c>
      <c r="M12">
        <v>49880</v>
      </c>
      <c r="N12">
        <v>0.32381716118684839</v>
      </c>
      <c r="O12">
        <v>2.5229751403368351E-2</v>
      </c>
      <c r="P12">
        <v>-0.29999999999995453</v>
      </c>
      <c r="Q12">
        <v>-1621.150000000016</v>
      </c>
      <c r="R12">
        <v>1258.460000000013</v>
      </c>
      <c r="S12">
        <f>Q12/R12</f>
        <v>-1.2882014525690124</v>
      </c>
    </row>
    <row r="13" spans="1:19" x14ac:dyDescent="0.15">
      <c r="A13" t="s">
        <v>20</v>
      </c>
      <c r="B13">
        <v>4.0999999999999996</v>
      </c>
      <c r="C13">
        <v>48</v>
      </c>
      <c r="D13">
        <v>20</v>
      </c>
      <c r="E13">
        <v>15</v>
      </c>
      <c r="F13">
        <v>3.8</v>
      </c>
      <c r="G13">
        <v>1</v>
      </c>
      <c r="H13">
        <v>2.9</v>
      </c>
      <c r="I13">
        <v>7</v>
      </c>
      <c r="K13">
        <v>10</v>
      </c>
      <c r="L13">
        <v>0.01</v>
      </c>
      <c r="M13">
        <v>15741</v>
      </c>
      <c r="N13">
        <v>0.32323232323232332</v>
      </c>
      <c r="O13">
        <v>6.8165300806810866E-2</v>
      </c>
      <c r="P13">
        <v>-0.57000000000016371</v>
      </c>
      <c r="Q13">
        <v>-1860.710000000003</v>
      </c>
      <c r="R13">
        <v>1072.99000000001</v>
      </c>
      <c r="S13">
        <f>Q13/R13</f>
        <v>-1.7341354532660935</v>
      </c>
    </row>
    <row r="14" spans="1:19" x14ac:dyDescent="0.15">
      <c r="A14" t="s">
        <v>20</v>
      </c>
      <c r="B14">
        <v>4.0999999999999996</v>
      </c>
      <c r="C14">
        <v>27</v>
      </c>
      <c r="D14">
        <v>25</v>
      </c>
      <c r="E14">
        <v>15</v>
      </c>
      <c r="F14">
        <v>3.6</v>
      </c>
      <c r="G14">
        <v>1</v>
      </c>
      <c r="H14">
        <v>1.1000000000000001</v>
      </c>
      <c r="I14">
        <v>6</v>
      </c>
      <c r="K14">
        <v>2</v>
      </c>
      <c r="L14">
        <v>0.01</v>
      </c>
      <c r="M14">
        <v>54618</v>
      </c>
      <c r="N14">
        <v>0.32450840382291551</v>
      </c>
      <c r="O14">
        <v>1.953678274561621E-2</v>
      </c>
      <c r="P14">
        <v>-0.26999999999998181</v>
      </c>
      <c r="Q14">
        <v>-1917.799999999999</v>
      </c>
      <c r="R14">
        <v>1067.0600000000661</v>
      </c>
      <c r="S14">
        <f>Q14/R14</f>
        <v>-1.7972747549340058</v>
      </c>
    </row>
    <row r="15" spans="1:19" x14ac:dyDescent="0.15">
      <c r="A15" t="s">
        <v>20</v>
      </c>
      <c r="B15">
        <v>4.0999999999999996</v>
      </c>
      <c r="C15">
        <v>12</v>
      </c>
      <c r="D15">
        <v>25</v>
      </c>
      <c r="E15">
        <v>25</v>
      </c>
      <c r="F15">
        <v>3</v>
      </c>
      <c r="G15">
        <v>1</v>
      </c>
      <c r="H15">
        <v>3</v>
      </c>
      <c r="I15">
        <v>9</v>
      </c>
      <c r="K15">
        <v>3</v>
      </c>
      <c r="L15">
        <v>0.01</v>
      </c>
      <c r="M15">
        <v>14397</v>
      </c>
      <c r="N15">
        <v>0.3256928526776412</v>
      </c>
      <c r="O15">
        <v>7.2210877266097914E-2</v>
      </c>
      <c r="P15">
        <v>-0.58999999999991815</v>
      </c>
      <c r="Q15">
        <v>-1733.609999999991</v>
      </c>
      <c r="R15">
        <v>1039.6200000000119</v>
      </c>
      <c r="S15">
        <f>Q15/R15</f>
        <v>-1.6675419864950378</v>
      </c>
    </row>
    <row r="16" spans="1:19" x14ac:dyDescent="0.15">
      <c r="A16" t="s">
        <v>20</v>
      </c>
      <c r="B16">
        <v>4.0999999999999996</v>
      </c>
      <c r="C16">
        <v>7</v>
      </c>
      <c r="D16">
        <v>5</v>
      </c>
      <c r="E16">
        <v>15</v>
      </c>
      <c r="F16">
        <v>3.2</v>
      </c>
      <c r="G16">
        <v>1</v>
      </c>
      <c r="H16">
        <v>2.1</v>
      </c>
      <c r="I16">
        <v>8</v>
      </c>
      <c r="K16">
        <v>5</v>
      </c>
      <c r="L16">
        <v>0.01</v>
      </c>
      <c r="M16">
        <v>26069</v>
      </c>
      <c r="N16">
        <v>0.32479189842341483</v>
      </c>
      <c r="O16">
        <v>3.7147186313245532E-2</v>
      </c>
      <c r="P16">
        <v>-0.41000000000008191</v>
      </c>
      <c r="Q16">
        <v>-1739.910000000001</v>
      </c>
      <c r="R16">
        <v>968.3899999999976</v>
      </c>
      <c r="S16">
        <f>Q16/R16</f>
        <v>-1.7967038073503498</v>
      </c>
    </row>
    <row r="17" spans="1:19" x14ac:dyDescent="0.15">
      <c r="A17" t="s">
        <v>20</v>
      </c>
      <c r="B17">
        <v>4.0999999999999996</v>
      </c>
      <c r="C17">
        <v>44</v>
      </c>
      <c r="D17">
        <v>30</v>
      </c>
      <c r="E17">
        <v>20</v>
      </c>
      <c r="F17">
        <v>3.8</v>
      </c>
      <c r="G17">
        <v>1</v>
      </c>
      <c r="H17">
        <v>1.3</v>
      </c>
      <c r="I17">
        <v>6</v>
      </c>
      <c r="K17">
        <v>5</v>
      </c>
      <c r="L17">
        <v>0.01</v>
      </c>
      <c r="M17">
        <v>49269</v>
      </c>
      <c r="N17">
        <v>0.32417950435365039</v>
      </c>
      <c r="O17">
        <v>1.8888144675151229E-2</v>
      </c>
      <c r="P17">
        <v>-0.29999999999995453</v>
      </c>
      <c r="Q17">
        <v>-1970.859999999996</v>
      </c>
      <c r="R17">
        <v>930.60000000002606</v>
      </c>
      <c r="S17">
        <f>Q17/R17</f>
        <v>-2.1178379540081034</v>
      </c>
    </row>
    <row r="18" spans="1:19" x14ac:dyDescent="0.15">
      <c r="A18" t="s">
        <v>20</v>
      </c>
      <c r="B18">
        <v>4.0999999999999996</v>
      </c>
      <c r="C18">
        <v>45</v>
      </c>
      <c r="D18">
        <v>10</v>
      </c>
      <c r="E18">
        <v>20</v>
      </c>
      <c r="F18">
        <v>3.4</v>
      </c>
      <c r="G18">
        <v>1</v>
      </c>
      <c r="H18">
        <v>2.1</v>
      </c>
      <c r="I18">
        <v>8</v>
      </c>
      <c r="K18">
        <v>4</v>
      </c>
      <c r="L18">
        <v>0.01</v>
      </c>
      <c r="M18">
        <v>25111</v>
      </c>
      <c r="N18">
        <v>0.32205009756680342</v>
      </c>
      <c r="O18">
        <v>3.6386444187807093E-2</v>
      </c>
      <c r="P18">
        <v>-0.42000000000007282</v>
      </c>
      <c r="Q18">
        <v>-1637.070000000004</v>
      </c>
      <c r="R18">
        <v>913.70000000002392</v>
      </c>
      <c r="S18">
        <f>Q18/R18</f>
        <v>-1.7916931159023324</v>
      </c>
    </row>
    <row r="19" spans="1:19" x14ac:dyDescent="0.15">
      <c r="A19" t="s">
        <v>20</v>
      </c>
      <c r="B19">
        <v>4.0999999999999996</v>
      </c>
      <c r="C19">
        <v>13</v>
      </c>
      <c r="D19">
        <v>5</v>
      </c>
      <c r="E19">
        <v>20</v>
      </c>
      <c r="F19">
        <v>2.4</v>
      </c>
      <c r="G19">
        <v>1</v>
      </c>
      <c r="H19">
        <v>2</v>
      </c>
      <c r="I19">
        <v>5</v>
      </c>
      <c r="K19">
        <v>5</v>
      </c>
      <c r="L19">
        <v>0.01</v>
      </c>
      <c r="M19">
        <v>28269</v>
      </c>
      <c r="N19">
        <v>0.32081078212883368</v>
      </c>
      <c r="O19">
        <v>3.2063037249283971E-2</v>
      </c>
      <c r="P19">
        <v>-0.40000000000009089</v>
      </c>
      <c r="Q19">
        <v>-2754.2900000000031</v>
      </c>
      <c r="R19">
        <v>906.39000000001306</v>
      </c>
      <c r="S19">
        <f>Q19/R19</f>
        <v>-3.0387471176866065</v>
      </c>
    </row>
    <row r="20" spans="1:19" x14ac:dyDescent="0.15">
      <c r="A20" t="s">
        <v>20</v>
      </c>
      <c r="B20">
        <v>4.0999999999999996</v>
      </c>
      <c r="C20">
        <v>23</v>
      </c>
      <c r="D20">
        <v>10</v>
      </c>
      <c r="E20">
        <v>20</v>
      </c>
      <c r="F20">
        <v>2.8</v>
      </c>
      <c r="G20">
        <v>1</v>
      </c>
      <c r="H20">
        <v>1.5</v>
      </c>
      <c r="I20">
        <v>8</v>
      </c>
      <c r="K20">
        <v>7</v>
      </c>
      <c r="L20">
        <v>0.01</v>
      </c>
      <c r="M20">
        <v>41947</v>
      </c>
      <c r="N20">
        <v>0.32297899730612439</v>
      </c>
      <c r="O20">
        <v>1.9048322883638669E-2</v>
      </c>
      <c r="P20">
        <v>-0.31999999999993628</v>
      </c>
      <c r="Q20">
        <v>-1592.620000000019</v>
      </c>
      <c r="R20">
        <v>799.01999999999134</v>
      </c>
      <c r="S20">
        <f>Q20/R20</f>
        <v>-1.9932166904458415</v>
      </c>
    </row>
    <row r="21" spans="1:19" x14ac:dyDescent="0.15">
      <c r="A21" t="s">
        <v>20</v>
      </c>
      <c r="B21">
        <v>4.0999999999999996</v>
      </c>
      <c r="C21">
        <v>17</v>
      </c>
      <c r="D21">
        <v>10</v>
      </c>
      <c r="E21">
        <v>30</v>
      </c>
      <c r="F21">
        <v>3.4</v>
      </c>
      <c r="G21">
        <v>1</v>
      </c>
      <c r="H21">
        <v>1.1000000000000001</v>
      </c>
      <c r="I21">
        <v>5</v>
      </c>
      <c r="K21">
        <v>3</v>
      </c>
      <c r="L21">
        <v>0.01</v>
      </c>
      <c r="M21">
        <v>57589</v>
      </c>
      <c r="N21">
        <v>0.32323881296775431</v>
      </c>
      <c r="O21">
        <v>1.299327996666077E-2</v>
      </c>
      <c r="P21">
        <v>-0.25999999999999091</v>
      </c>
      <c r="Q21">
        <v>-1028.9900000000021</v>
      </c>
      <c r="R21">
        <v>748.27000000002681</v>
      </c>
      <c r="S21">
        <f>Q21/R21</f>
        <v>-1.3751586993999028</v>
      </c>
    </row>
    <row r="22" spans="1:19" x14ac:dyDescent="0.15">
      <c r="A22" t="s">
        <v>20</v>
      </c>
      <c r="B22">
        <v>4.0999999999999996</v>
      </c>
      <c r="C22">
        <v>11</v>
      </c>
      <c r="D22">
        <v>15</v>
      </c>
      <c r="E22">
        <v>15</v>
      </c>
      <c r="F22">
        <v>3.8</v>
      </c>
      <c r="G22">
        <v>1</v>
      </c>
      <c r="H22">
        <v>3</v>
      </c>
      <c r="I22">
        <v>4</v>
      </c>
      <c r="K22">
        <v>7</v>
      </c>
      <c r="L22">
        <v>0.01</v>
      </c>
      <c r="M22">
        <v>14910</v>
      </c>
      <c r="N22">
        <v>0.3130114017437961</v>
      </c>
      <c r="O22">
        <v>5.0101274312541549E-2</v>
      </c>
      <c r="P22">
        <v>-0.65000000000009095</v>
      </c>
      <c r="Q22">
        <v>-1470.1500000000069</v>
      </c>
      <c r="R22">
        <v>747.00999999999453</v>
      </c>
      <c r="S22">
        <f>Q22/R22</f>
        <v>-1.9680459431600885</v>
      </c>
    </row>
    <row r="23" spans="1:19" x14ac:dyDescent="0.15">
      <c r="A23" t="s">
        <v>20</v>
      </c>
      <c r="B23">
        <v>4.0999999999999996</v>
      </c>
      <c r="C23">
        <v>1</v>
      </c>
      <c r="D23">
        <v>5</v>
      </c>
      <c r="E23">
        <v>25</v>
      </c>
      <c r="F23">
        <v>2.8</v>
      </c>
      <c r="G23">
        <v>1</v>
      </c>
      <c r="H23">
        <v>2</v>
      </c>
      <c r="I23">
        <v>7</v>
      </c>
      <c r="K23">
        <v>10</v>
      </c>
      <c r="L23">
        <v>0.01</v>
      </c>
      <c r="M23">
        <v>27642</v>
      </c>
      <c r="N23">
        <v>0.3233485276029231</v>
      </c>
      <c r="O23">
        <v>2.4345561102669881E-2</v>
      </c>
      <c r="P23">
        <v>-0.39999999999986358</v>
      </c>
      <c r="Q23">
        <v>-2037.870000000009</v>
      </c>
      <c r="R23">
        <v>672.96000000000072</v>
      </c>
      <c r="S23">
        <f>Q23/R23</f>
        <v>-3.0282186162624924</v>
      </c>
    </row>
    <row r="24" spans="1:19" x14ac:dyDescent="0.15">
      <c r="A24" t="s">
        <v>20</v>
      </c>
      <c r="B24">
        <v>4.0999999999999996</v>
      </c>
      <c r="C24">
        <v>31</v>
      </c>
      <c r="D24">
        <v>5</v>
      </c>
      <c r="E24">
        <v>15</v>
      </c>
      <c r="F24">
        <v>3.2</v>
      </c>
      <c r="G24">
        <v>1</v>
      </c>
      <c r="H24">
        <v>2.2000000000000002</v>
      </c>
      <c r="I24">
        <v>10</v>
      </c>
      <c r="K24">
        <v>2</v>
      </c>
      <c r="L24">
        <v>0.01</v>
      </c>
      <c r="M24">
        <v>22221</v>
      </c>
      <c r="N24">
        <v>0.32658296206291348</v>
      </c>
      <c r="O24">
        <v>3.024256334098464E-2</v>
      </c>
      <c r="P24">
        <v>-0.42000000000007282</v>
      </c>
      <c r="Q24">
        <v>-1195.360000000009</v>
      </c>
      <c r="R24">
        <v>672.02000000001976</v>
      </c>
      <c r="S24">
        <f>Q24/R24</f>
        <v>-1.7787565846254187</v>
      </c>
    </row>
    <row r="25" spans="1:19" x14ac:dyDescent="0.15">
      <c r="A25" t="s">
        <v>20</v>
      </c>
      <c r="B25">
        <v>4.0999999999999996</v>
      </c>
      <c r="C25">
        <v>0</v>
      </c>
      <c r="D25">
        <v>5</v>
      </c>
      <c r="E25">
        <v>25</v>
      </c>
      <c r="F25">
        <v>2.8</v>
      </c>
      <c r="G25">
        <v>1</v>
      </c>
      <c r="H25">
        <v>2</v>
      </c>
      <c r="I25">
        <v>10</v>
      </c>
      <c r="K25">
        <v>7</v>
      </c>
      <c r="L25">
        <v>0.01</v>
      </c>
      <c r="M25">
        <v>27594</v>
      </c>
      <c r="N25">
        <v>0.32470826991374929</v>
      </c>
      <c r="O25">
        <v>2.3555483076031211E-2</v>
      </c>
      <c r="P25">
        <v>-0.39000000000009999</v>
      </c>
      <c r="Q25">
        <v>-2122.79000000001</v>
      </c>
      <c r="R25">
        <v>649.99000000000501</v>
      </c>
      <c r="S25">
        <f>Q25/R25</f>
        <v>-3.2658810135540448</v>
      </c>
    </row>
    <row r="26" spans="1:19" x14ac:dyDescent="0.15">
      <c r="A26" t="s">
        <v>20</v>
      </c>
      <c r="B26">
        <v>4.0999999999999996</v>
      </c>
      <c r="C26">
        <v>3</v>
      </c>
      <c r="D26">
        <v>5</v>
      </c>
      <c r="E26">
        <v>30</v>
      </c>
      <c r="F26">
        <v>2.6</v>
      </c>
      <c r="G26">
        <v>1</v>
      </c>
      <c r="H26">
        <v>2.2000000000000002</v>
      </c>
      <c r="I26">
        <v>8</v>
      </c>
      <c r="K26">
        <v>5</v>
      </c>
      <c r="L26">
        <v>0.01</v>
      </c>
      <c r="M26">
        <v>23835</v>
      </c>
      <c r="N26">
        <v>0.32217327459618211</v>
      </c>
      <c r="O26">
        <v>2.5744912943151909E-2</v>
      </c>
      <c r="P26">
        <v>-0.43000000000006372</v>
      </c>
      <c r="Q26">
        <v>-1838.9600000000039</v>
      </c>
      <c r="R26">
        <v>613.6300000000258</v>
      </c>
      <c r="S26">
        <f>Q26/R26</f>
        <v>-2.9968547821976217</v>
      </c>
    </row>
    <row r="27" spans="1:19" x14ac:dyDescent="0.15">
      <c r="A27" t="s">
        <v>20</v>
      </c>
      <c r="B27">
        <v>4.0999999999999996</v>
      </c>
      <c r="C27">
        <v>34</v>
      </c>
      <c r="D27">
        <v>30</v>
      </c>
      <c r="E27">
        <v>30</v>
      </c>
      <c r="F27">
        <v>3.4</v>
      </c>
      <c r="G27">
        <v>1</v>
      </c>
      <c r="H27">
        <v>1.4</v>
      </c>
      <c r="I27">
        <v>9</v>
      </c>
      <c r="K27">
        <v>5</v>
      </c>
      <c r="L27">
        <v>0.01</v>
      </c>
      <c r="M27">
        <v>44505</v>
      </c>
      <c r="N27">
        <v>0.32609819121447031</v>
      </c>
      <c r="O27">
        <v>1.277541849230384E-2</v>
      </c>
      <c r="P27">
        <v>-0.30999999999994537</v>
      </c>
      <c r="Q27">
        <v>-1640.9900000000091</v>
      </c>
      <c r="R27">
        <v>568.56999999998243</v>
      </c>
      <c r="S27">
        <f>Q27/R27</f>
        <v>-2.8861705682678647</v>
      </c>
    </row>
    <row r="28" spans="1:19" x14ac:dyDescent="0.15">
      <c r="A28" t="s">
        <v>20</v>
      </c>
      <c r="B28">
        <v>4.0999999999999996</v>
      </c>
      <c r="C28">
        <v>46</v>
      </c>
      <c r="D28">
        <v>5</v>
      </c>
      <c r="E28">
        <v>15</v>
      </c>
      <c r="F28">
        <v>2.8</v>
      </c>
      <c r="G28">
        <v>1</v>
      </c>
      <c r="H28">
        <v>2.1</v>
      </c>
      <c r="I28">
        <v>10</v>
      </c>
      <c r="K28">
        <v>2</v>
      </c>
      <c r="L28">
        <v>0.01</v>
      </c>
      <c r="M28">
        <v>24171</v>
      </c>
      <c r="N28">
        <v>0.32841007819287582</v>
      </c>
      <c r="O28">
        <v>1.9173389599107599E-2</v>
      </c>
      <c r="P28">
        <v>-0.40000000000009089</v>
      </c>
      <c r="Q28">
        <v>-2017.930000000011</v>
      </c>
      <c r="R28">
        <v>463.44000000002978</v>
      </c>
      <c r="S28">
        <f>Q28/R28</f>
        <v>-4.354242188848354</v>
      </c>
    </row>
    <row r="29" spans="1:19" x14ac:dyDescent="0.15">
      <c r="A29" t="s">
        <v>20</v>
      </c>
      <c r="B29">
        <v>4.0999999999999996</v>
      </c>
      <c r="C29">
        <v>24</v>
      </c>
      <c r="D29">
        <v>30</v>
      </c>
      <c r="E29">
        <v>30</v>
      </c>
      <c r="F29">
        <v>2.4</v>
      </c>
      <c r="G29">
        <v>1</v>
      </c>
      <c r="H29">
        <v>1.2</v>
      </c>
      <c r="I29">
        <v>5</v>
      </c>
      <c r="K29">
        <v>5</v>
      </c>
      <c r="L29">
        <v>0.01</v>
      </c>
      <c r="M29">
        <v>54800</v>
      </c>
      <c r="N29">
        <v>0.32392335766423358</v>
      </c>
      <c r="O29">
        <v>8.0510948905117754E-3</v>
      </c>
      <c r="P29">
        <v>-0.28999999999996362</v>
      </c>
      <c r="Q29">
        <v>-2148.0799999999922</v>
      </c>
      <c r="R29">
        <v>441.20000000004529</v>
      </c>
      <c r="S29">
        <f>Q29/R29</f>
        <v>-4.8687216681771801</v>
      </c>
    </row>
    <row r="30" spans="1:19" x14ac:dyDescent="0.15">
      <c r="A30" t="s">
        <v>20</v>
      </c>
      <c r="B30">
        <v>4.0999999999999996</v>
      </c>
      <c r="C30">
        <v>28</v>
      </c>
      <c r="D30">
        <v>25</v>
      </c>
      <c r="E30">
        <v>30</v>
      </c>
      <c r="F30">
        <v>2.6</v>
      </c>
      <c r="G30">
        <v>1</v>
      </c>
      <c r="H30">
        <v>2</v>
      </c>
      <c r="I30">
        <v>5</v>
      </c>
      <c r="K30">
        <v>7</v>
      </c>
      <c r="L30">
        <v>0.01</v>
      </c>
      <c r="M30">
        <v>27627</v>
      </c>
      <c r="N30">
        <v>0.31798602816085708</v>
      </c>
      <c r="O30">
        <v>1.5206500886814441E-2</v>
      </c>
      <c r="P30">
        <v>-0.41999999999984539</v>
      </c>
      <c r="Q30">
        <v>-1684.4099999999989</v>
      </c>
      <c r="R30">
        <v>420.11000000002258</v>
      </c>
      <c r="S30">
        <f>Q30/R30</f>
        <v>-4.0094499059767879</v>
      </c>
    </row>
    <row r="31" spans="1:19" x14ac:dyDescent="0.15">
      <c r="A31" t="s">
        <v>20</v>
      </c>
      <c r="B31">
        <v>4.0999999999999996</v>
      </c>
      <c r="C31">
        <v>19</v>
      </c>
      <c r="D31">
        <v>15</v>
      </c>
      <c r="E31">
        <v>15</v>
      </c>
      <c r="F31">
        <v>3.2</v>
      </c>
      <c r="G31">
        <v>1</v>
      </c>
      <c r="H31">
        <v>1.4</v>
      </c>
      <c r="I31">
        <v>7</v>
      </c>
      <c r="K31">
        <v>2</v>
      </c>
      <c r="L31">
        <v>0.01</v>
      </c>
      <c r="M31">
        <v>41132</v>
      </c>
      <c r="N31">
        <v>0.32427307206068268</v>
      </c>
      <c r="O31">
        <v>9.7695225128857192E-3</v>
      </c>
      <c r="P31">
        <v>-0.30999999999994537</v>
      </c>
      <c r="Q31">
        <v>-1533.9299999999801</v>
      </c>
      <c r="R31">
        <v>401.84000000001538</v>
      </c>
      <c r="S31">
        <f>Q31/R31</f>
        <v>-3.817265578339442</v>
      </c>
    </row>
    <row r="32" spans="1:19" x14ac:dyDescent="0.15">
      <c r="A32" t="s">
        <v>20</v>
      </c>
      <c r="B32">
        <v>4.0999999999999996</v>
      </c>
      <c r="C32">
        <v>15</v>
      </c>
      <c r="D32">
        <v>20</v>
      </c>
      <c r="E32">
        <v>25</v>
      </c>
      <c r="F32">
        <v>2.2000000000000002</v>
      </c>
      <c r="G32">
        <v>1</v>
      </c>
      <c r="H32">
        <v>1.2</v>
      </c>
      <c r="I32">
        <v>3</v>
      </c>
      <c r="K32">
        <v>7</v>
      </c>
      <c r="L32">
        <v>0.01</v>
      </c>
      <c r="M32">
        <v>55998</v>
      </c>
      <c r="N32">
        <v>0.31793992642594382</v>
      </c>
      <c r="O32">
        <v>6.5745205185902553E-3</v>
      </c>
      <c r="P32">
        <v>-0.29999999999995453</v>
      </c>
      <c r="Q32">
        <v>-2319.3199999999888</v>
      </c>
      <c r="R32">
        <v>368.16000000001918</v>
      </c>
      <c r="S32">
        <f>Q32/R32</f>
        <v>-6.2997609734894287</v>
      </c>
    </row>
    <row r="33" spans="1:19" x14ac:dyDescent="0.15">
      <c r="A33" t="s">
        <v>20</v>
      </c>
      <c r="B33">
        <v>4.0999999999999996</v>
      </c>
      <c r="C33">
        <v>16</v>
      </c>
      <c r="D33">
        <v>10</v>
      </c>
      <c r="E33">
        <v>15</v>
      </c>
      <c r="F33">
        <v>4</v>
      </c>
      <c r="G33">
        <v>1</v>
      </c>
      <c r="H33">
        <v>1</v>
      </c>
      <c r="I33">
        <v>7</v>
      </c>
      <c r="K33">
        <v>7</v>
      </c>
      <c r="L33">
        <v>0.01</v>
      </c>
      <c r="M33">
        <v>68082</v>
      </c>
      <c r="N33">
        <v>0.32447636673423219</v>
      </c>
      <c r="O33">
        <v>5.061396551217825E-3</v>
      </c>
      <c r="P33">
        <v>-0.25</v>
      </c>
      <c r="Q33">
        <v>-1539.5999999999949</v>
      </c>
      <c r="R33">
        <v>344.59000000001203</v>
      </c>
      <c r="S33">
        <f>Q33/R33</f>
        <v>-4.4679183957745181</v>
      </c>
    </row>
    <row r="34" spans="1:19" x14ac:dyDescent="0.15">
      <c r="A34" t="s">
        <v>20</v>
      </c>
      <c r="B34">
        <v>4.0999999999999996</v>
      </c>
      <c r="C34">
        <v>5</v>
      </c>
      <c r="D34">
        <v>5</v>
      </c>
      <c r="E34">
        <v>15</v>
      </c>
      <c r="F34">
        <v>3.6</v>
      </c>
      <c r="G34">
        <v>1</v>
      </c>
      <c r="H34">
        <v>2.2000000000000002</v>
      </c>
      <c r="I34">
        <v>4</v>
      </c>
      <c r="K34">
        <v>10</v>
      </c>
      <c r="L34">
        <v>0.01</v>
      </c>
      <c r="M34">
        <v>24280</v>
      </c>
      <c r="N34">
        <v>0.31346787479406918</v>
      </c>
      <c r="O34">
        <v>1.394810543657435E-2</v>
      </c>
      <c r="P34">
        <v>-0.47000000000025471</v>
      </c>
      <c r="Q34">
        <v>-1764.260000000005</v>
      </c>
      <c r="R34">
        <v>338.66000000002532</v>
      </c>
      <c r="S34">
        <f>Q34/R34</f>
        <v>-5.2095316836941858</v>
      </c>
    </row>
    <row r="35" spans="1:19" x14ac:dyDescent="0.15">
      <c r="A35" t="s">
        <v>20</v>
      </c>
      <c r="B35">
        <v>4.0999999999999996</v>
      </c>
      <c r="C35">
        <v>33</v>
      </c>
      <c r="D35">
        <v>10</v>
      </c>
      <c r="E35">
        <v>30</v>
      </c>
      <c r="F35">
        <v>2.6</v>
      </c>
      <c r="G35">
        <v>1</v>
      </c>
      <c r="H35">
        <v>2.1</v>
      </c>
      <c r="I35">
        <v>10</v>
      </c>
      <c r="K35">
        <v>1</v>
      </c>
      <c r="L35">
        <v>0.01</v>
      </c>
      <c r="M35">
        <v>20241</v>
      </c>
      <c r="N35">
        <v>0.32952917345980931</v>
      </c>
      <c r="O35">
        <v>1.6678029741614579E-2</v>
      </c>
      <c r="P35">
        <v>-0.39999999999986358</v>
      </c>
      <c r="Q35">
        <v>-1296.80000000001</v>
      </c>
      <c r="R35">
        <v>337.58000000002062</v>
      </c>
      <c r="S35">
        <f>Q35/R35</f>
        <v>-3.8414598021207738</v>
      </c>
    </row>
    <row r="36" spans="1:19" x14ac:dyDescent="0.15">
      <c r="A36" t="s">
        <v>20</v>
      </c>
      <c r="B36">
        <v>4.0999999999999996</v>
      </c>
      <c r="C36">
        <v>20</v>
      </c>
      <c r="D36">
        <v>15</v>
      </c>
      <c r="E36">
        <v>15</v>
      </c>
      <c r="F36">
        <v>2.6</v>
      </c>
      <c r="G36">
        <v>1</v>
      </c>
      <c r="H36">
        <v>3</v>
      </c>
      <c r="I36">
        <v>7</v>
      </c>
      <c r="K36">
        <v>4</v>
      </c>
      <c r="L36">
        <v>0.01</v>
      </c>
      <c r="M36">
        <v>15594</v>
      </c>
      <c r="N36">
        <v>0.31993074259330512</v>
      </c>
      <c r="O36">
        <v>2.1544183660383211E-2</v>
      </c>
      <c r="P36">
        <v>-0.59999999999990905</v>
      </c>
      <c r="Q36">
        <v>-1682.7999999999979</v>
      </c>
      <c r="R36">
        <v>335.96000000001573</v>
      </c>
      <c r="S36">
        <f>Q36/R36</f>
        <v>-5.0089296344800545</v>
      </c>
    </row>
    <row r="37" spans="1:19" x14ac:dyDescent="0.15">
      <c r="A37" t="s">
        <v>20</v>
      </c>
      <c r="B37">
        <v>4.0999999999999996</v>
      </c>
      <c r="C37">
        <v>35</v>
      </c>
      <c r="D37">
        <v>10</v>
      </c>
      <c r="E37">
        <v>20</v>
      </c>
      <c r="F37">
        <v>2.4</v>
      </c>
      <c r="G37">
        <v>1</v>
      </c>
      <c r="H37">
        <v>1.5</v>
      </c>
      <c r="I37">
        <v>9</v>
      </c>
      <c r="K37">
        <v>10</v>
      </c>
      <c r="L37">
        <v>0.01</v>
      </c>
      <c r="M37">
        <v>42434</v>
      </c>
      <c r="N37">
        <v>0.32240656077673557</v>
      </c>
      <c r="O37">
        <v>7.5651600131971409E-3</v>
      </c>
      <c r="P37">
        <v>-0.31999999999993628</v>
      </c>
      <c r="Q37">
        <v>-1681.1900000000089</v>
      </c>
      <c r="R37">
        <v>321.02000000000749</v>
      </c>
      <c r="S37">
        <f>Q37/R37</f>
        <v>-5.237025730483988</v>
      </c>
    </row>
    <row r="38" spans="1:19" x14ac:dyDescent="0.15">
      <c r="A38" t="s">
        <v>20</v>
      </c>
      <c r="B38">
        <v>4.0999999999999996</v>
      </c>
      <c r="C38">
        <v>8</v>
      </c>
      <c r="D38">
        <v>5</v>
      </c>
      <c r="E38">
        <v>15</v>
      </c>
      <c r="F38">
        <v>3.6</v>
      </c>
      <c r="G38">
        <v>1</v>
      </c>
      <c r="H38">
        <v>2.2000000000000002</v>
      </c>
      <c r="I38">
        <v>7</v>
      </c>
      <c r="K38">
        <v>4</v>
      </c>
      <c r="L38">
        <v>0.01</v>
      </c>
      <c r="M38">
        <v>23847</v>
      </c>
      <c r="N38">
        <v>0.32163374847989262</v>
      </c>
      <c r="O38">
        <v>1.1181700004194399E-2</v>
      </c>
      <c r="P38">
        <v>-0.4399999999998272</v>
      </c>
      <c r="Q38">
        <v>-1476.510000000007</v>
      </c>
      <c r="R38">
        <v>266.65000000002402</v>
      </c>
      <c r="S38">
        <f>Q38/R38</f>
        <v>-5.537258578660694</v>
      </c>
    </row>
    <row r="39" spans="1:19" x14ac:dyDescent="0.15">
      <c r="A39" t="s">
        <v>20</v>
      </c>
      <c r="B39">
        <v>4.0999999999999996</v>
      </c>
      <c r="C39">
        <v>30</v>
      </c>
      <c r="D39">
        <v>5</v>
      </c>
      <c r="E39">
        <v>15</v>
      </c>
      <c r="F39">
        <v>3.4</v>
      </c>
      <c r="G39">
        <v>1</v>
      </c>
      <c r="H39">
        <v>2.1</v>
      </c>
      <c r="I39">
        <v>10</v>
      </c>
      <c r="K39">
        <v>3</v>
      </c>
      <c r="L39">
        <v>0.01</v>
      </c>
      <c r="M39">
        <v>24981</v>
      </c>
      <c r="N39">
        <v>0.32532724870901891</v>
      </c>
      <c r="O39">
        <v>6.0610063648374526E-3</v>
      </c>
      <c r="P39">
        <v>-0.40999999999985448</v>
      </c>
      <c r="Q39">
        <v>-1903.5300000000141</v>
      </c>
      <c r="R39">
        <v>151.4100000000044</v>
      </c>
      <c r="S39">
        <f>Q39/R39</f>
        <v>-12.572022983950589</v>
      </c>
    </row>
    <row r="40" spans="1:19" x14ac:dyDescent="0.15">
      <c r="A40" t="s">
        <v>20</v>
      </c>
      <c r="B40">
        <v>4.0999999999999996</v>
      </c>
      <c r="C40">
        <v>9</v>
      </c>
      <c r="D40">
        <v>20</v>
      </c>
      <c r="E40">
        <v>25</v>
      </c>
      <c r="F40">
        <v>2.6</v>
      </c>
      <c r="G40">
        <v>1</v>
      </c>
      <c r="H40">
        <v>1.2</v>
      </c>
      <c r="I40">
        <v>4</v>
      </c>
      <c r="K40">
        <v>5</v>
      </c>
      <c r="L40">
        <v>0.01</v>
      </c>
      <c r="M40">
        <v>54987</v>
      </c>
      <c r="N40">
        <v>0.32191245203411722</v>
      </c>
      <c r="O40">
        <v>7.7327368287085198E-4</v>
      </c>
      <c r="P40">
        <v>-0.28999999999996362</v>
      </c>
      <c r="Q40">
        <v>-2289.049999999997</v>
      </c>
      <c r="R40">
        <v>42.520000000019543</v>
      </c>
      <c r="S40">
        <f>Q40/R40</f>
        <v>-53.834666039486002</v>
      </c>
    </row>
    <row r="41" spans="1:19" x14ac:dyDescent="0.15">
      <c r="A41" t="s">
        <v>20</v>
      </c>
      <c r="B41">
        <v>4.0999999999999996</v>
      </c>
      <c r="C41">
        <v>49</v>
      </c>
      <c r="D41">
        <v>25</v>
      </c>
      <c r="E41">
        <v>25</v>
      </c>
      <c r="F41">
        <v>2.6</v>
      </c>
      <c r="G41">
        <v>1</v>
      </c>
      <c r="H41">
        <v>2.6</v>
      </c>
      <c r="I41">
        <v>7</v>
      </c>
      <c r="K41">
        <v>7</v>
      </c>
      <c r="L41">
        <v>0.01</v>
      </c>
      <c r="M41">
        <v>18940</v>
      </c>
      <c r="N41">
        <v>0.32022175290390709</v>
      </c>
      <c r="O41">
        <v>-1.745512143610741E-3</v>
      </c>
      <c r="P41">
        <v>-0.51999999999998181</v>
      </c>
      <c r="Q41">
        <v>-3021.6099999999951</v>
      </c>
      <c r="R41">
        <v>-33.059999999987667</v>
      </c>
      <c r="S41">
        <f>Q41/R41</f>
        <v>91.397761645526984</v>
      </c>
    </row>
    <row r="42" spans="1:19" x14ac:dyDescent="0.15">
      <c r="A42" t="s">
        <v>20</v>
      </c>
      <c r="B42">
        <v>4.0999999999999996</v>
      </c>
      <c r="C42">
        <v>37</v>
      </c>
      <c r="D42">
        <v>25</v>
      </c>
      <c r="E42">
        <v>30</v>
      </c>
      <c r="F42">
        <v>2.6</v>
      </c>
      <c r="G42">
        <v>1</v>
      </c>
      <c r="H42">
        <v>1.2</v>
      </c>
      <c r="I42">
        <v>10</v>
      </c>
      <c r="K42">
        <v>3</v>
      </c>
      <c r="L42">
        <v>0.01</v>
      </c>
      <c r="M42">
        <v>52426</v>
      </c>
      <c r="N42">
        <v>0.32424751077709529</v>
      </c>
      <c r="O42">
        <v>-3.278716667302021E-3</v>
      </c>
      <c r="P42">
        <v>-0.28000000000020009</v>
      </c>
      <c r="Q42">
        <v>-2147.4900000000021</v>
      </c>
      <c r="R42">
        <v>-171.8899999999758</v>
      </c>
      <c r="S42">
        <f>Q42/R42</f>
        <v>12.493396939905198</v>
      </c>
    </row>
    <row r="43" spans="1:19" x14ac:dyDescent="0.15">
      <c r="A43" t="s">
        <v>20</v>
      </c>
      <c r="B43">
        <v>4.0999999999999996</v>
      </c>
      <c r="C43">
        <v>39</v>
      </c>
      <c r="D43">
        <v>30</v>
      </c>
      <c r="E43">
        <v>30</v>
      </c>
      <c r="F43">
        <v>2.6</v>
      </c>
      <c r="G43">
        <v>1</v>
      </c>
      <c r="H43">
        <v>1</v>
      </c>
      <c r="I43">
        <v>7</v>
      </c>
      <c r="K43">
        <v>7</v>
      </c>
      <c r="L43">
        <v>0.01</v>
      </c>
      <c r="M43">
        <v>67717</v>
      </c>
      <c r="N43">
        <v>0.32352289676152218</v>
      </c>
      <c r="O43">
        <v>-4.3216622118525238E-3</v>
      </c>
      <c r="P43">
        <v>-0.25</v>
      </c>
      <c r="Q43">
        <v>-2275.2100000000032</v>
      </c>
      <c r="R43">
        <v>-292.65000000002283</v>
      </c>
      <c r="S43">
        <f>Q43/R43</f>
        <v>7.7745087989059485</v>
      </c>
    </row>
    <row r="44" spans="1:19" x14ac:dyDescent="0.15">
      <c r="A44" t="s">
        <v>20</v>
      </c>
      <c r="B44">
        <v>4.0999999999999996</v>
      </c>
      <c r="C44">
        <v>41</v>
      </c>
      <c r="D44">
        <v>25</v>
      </c>
      <c r="E44">
        <v>30</v>
      </c>
      <c r="F44">
        <v>2.6</v>
      </c>
      <c r="G44">
        <v>1</v>
      </c>
      <c r="H44">
        <v>2</v>
      </c>
      <c r="I44">
        <v>4</v>
      </c>
      <c r="K44">
        <v>1</v>
      </c>
      <c r="L44">
        <v>0.01</v>
      </c>
      <c r="M44">
        <v>21997</v>
      </c>
      <c r="N44">
        <v>0.31690685093421828</v>
      </c>
      <c r="O44">
        <v>-1.6089012138018641E-2</v>
      </c>
      <c r="P44">
        <v>-0.42000000000007282</v>
      </c>
      <c r="Q44">
        <v>-1051.8299999999961</v>
      </c>
      <c r="R44">
        <v>-353.90999999999599</v>
      </c>
      <c r="S44">
        <f>Q44/R44</f>
        <v>2.9720267864711594</v>
      </c>
    </row>
    <row r="45" spans="1:19" x14ac:dyDescent="0.15">
      <c r="A45" t="s">
        <v>20</v>
      </c>
      <c r="B45">
        <v>4.0999999999999996</v>
      </c>
      <c r="C45">
        <v>29</v>
      </c>
      <c r="D45">
        <v>15</v>
      </c>
      <c r="E45">
        <v>30</v>
      </c>
      <c r="F45">
        <v>2.2000000000000002</v>
      </c>
      <c r="G45">
        <v>1</v>
      </c>
      <c r="H45">
        <v>1.4</v>
      </c>
      <c r="I45">
        <v>4</v>
      </c>
      <c r="K45">
        <v>2</v>
      </c>
      <c r="L45">
        <v>0.01</v>
      </c>
      <c r="M45">
        <v>40984</v>
      </c>
      <c r="N45">
        <v>0.32163771227796212</v>
      </c>
      <c r="O45">
        <v>-9.056949053288757E-3</v>
      </c>
      <c r="P45">
        <v>-0.3100000000001728</v>
      </c>
      <c r="Q45">
        <v>-1943.089999999984</v>
      </c>
      <c r="R45">
        <v>-371.18999999998641</v>
      </c>
      <c r="S45">
        <f>Q45/R45</f>
        <v>5.2347584794850484</v>
      </c>
    </row>
    <row r="46" spans="1:19" x14ac:dyDescent="0.15">
      <c r="A46" t="s">
        <v>20</v>
      </c>
      <c r="B46">
        <v>4.0999999999999996</v>
      </c>
      <c r="C46">
        <v>25</v>
      </c>
      <c r="D46">
        <v>30</v>
      </c>
      <c r="E46">
        <v>10</v>
      </c>
      <c r="F46">
        <v>3.6</v>
      </c>
      <c r="G46">
        <v>1</v>
      </c>
      <c r="H46">
        <v>1.2</v>
      </c>
      <c r="I46">
        <v>5</v>
      </c>
      <c r="K46">
        <v>4</v>
      </c>
      <c r="L46">
        <v>0.01</v>
      </c>
      <c r="M46">
        <v>55022</v>
      </c>
      <c r="N46">
        <v>0.32325251717494818</v>
      </c>
      <c r="O46">
        <v>-7.6700228999306928E-3</v>
      </c>
      <c r="P46">
        <v>-0.28999999999996362</v>
      </c>
      <c r="Q46">
        <v>-2444.249999999985</v>
      </c>
      <c r="R46">
        <v>-422.01999999996542</v>
      </c>
      <c r="S46">
        <f>Q46/R46</f>
        <v>5.7917871190943204</v>
      </c>
    </row>
    <row r="47" spans="1:19" x14ac:dyDescent="0.15">
      <c r="A47" t="s">
        <v>20</v>
      </c>
      <c r="B47">
        <v>4.0999999999999996</v>
      </c>
      <c r="C47">
        <v>42</v>
      </c>
      <c r="D47">
        <v>30</v>
      </c>
      <c r="E47">
        <v>25</v>
      </c>
      <c r="F47">
        <v>2.8</v>
      </c>
      <c r="G47">
        <v>1</v>
      </c>
      <c r="H47">
        <v>2.6</v>
      </c>
      <c r="I47">
        <v>3</v>
      </c>
      <c r="K47">
        <v>10</v>
      </c>
      <c r="L47">
        <v>0.01</v>
      </c>
      <c r="M47">
        <v>18849</v>
      </c>
      <c r="N47">
        <v>0.29964454347710762</v>
      </c>
      <c r="O47">
        <v>-2.5573239959679219E-2</v>
      </c>
      <c r="P47">
        <v>-0.6899999999998272</v>
      </c>
      <c r="Q47">
        <v>-1871.199999999995</v>
      </c>
      <c r="R47">
        <v>-482.02999999999361</v>
      </c>
      <c r="S47">
        <f>Q47/R47</f>
        <v>3.8819160633156025</v>
      </c>
    </row>
    <row r="48" spans="1:19" x14ac:dyDescent="0.15">
      <c r="A48" t="s">
        <v>20</v>
      </c>
      <c r="B48">
        <v>4.0999999999999996</v>
      </c>
      <c r="C48">
        <v>47</v>
      </c>
      <c r="D48">
        <v>10</v>
      </c>
      <c r="E48">
        <v>15</v>
      </c>
      <c r="F48">
        <v>3.8</v>
      </c>
      <c r="G48">
        <v>1</v>
      </c>
      <c r="H48">
        <v>1.9</v>
      </c>
      <c r="I48">
        <v>8</v>
      </c>
      <c r="K48">
        <v>1</v>
      </c>
      <c r="L48">
        <v>0.01</v>
      </c>
      <c r="M48">
        <v>23285</v>
      </c>
      <c r="N48">
        <v>0.32639038007300841</v>
      </c>
      <c r="O48">
        <v>-2.421558943525812E-2</v>
      </c>
      <c r="P48">
        <v>-0.37999999999988182</v>
      </c>
      <c r="Q48">
        <v>-1290.329999999984</v>
      </c>
      <c r="R48">
        <v>-563.85999999998535</v>
      </c>
      <c r="S48">
        <f>Q48/R48</f>
        <v>2.2883871883091857</v>
      </c>
    </row>
    <row r="49" spans="1:19" x14ac:dyDescent="0.15">
      <c r="A49" t="s">
        <v>20</v>
      </c>
      <c r="B49">
        <v>4.0999999999999996</v>
      </c>
      <c r="C49">
        <v>40</v>
      </c>
      <c r="D49">
        <v>20</v>
      </c>
      <c r="E49">
        <v>30</v>
      </c>
      <c r="F49">
        <v>2.8</v>
      </c>
      <c r="G49">
        <v>1</v>
      </c>
      <c r="H49">
        <v>1.1000000000000001</v>
      </c>
      <c r="I49">
        <v>5</v>
      </c>
      <c r="K49">
        <v>1</v>
      </c>
      <c r="L49">
        <v>0.01</v>
      </c>
      <c r="M49">
        <v>47071</v>
      </c>
      <c r="N49">
        <v>0.32325635741751818</v>
      </c>
      <c r="O49">
        <v>-1.405408850459912E-2</v>
      </c>
      <c r="P49">
        <v>-0.26999999999998181</v>
      </c>
      <c r="Q49">
        <v>-1576.530000000002</v>
      </c>
      <c r="R49">
        <v>-661.53999999998496</v>
      </c>
      <c r="S49">
        <f>Q49/R49</f>
        <v>2.3831212020437733</v>
      </c>
    </row>
    <row r="50" spans="1:19" x14ac:dyDescent="0.15">
      <c r="A50" t="s">
        <v>20</v>
      </c>
      <c r="B50">
        <v>4.0999999999999996</v>
      </c>
      <c r="C50">
        <v>26</v>
      </c>
      <c r="D50">
        <v>10</v>
      </c>
      <c r="E50">
        <v>25</v>
      </c>
      <c r="F50">
        <v>2.4</v>
      </c>
      <c r="G50">
        <v>1</v>
      </c>
      <c r="H50">
        <v>1.1000000000000001</v>
      </c>
      <c r="I50">
        <v>10</v>
      </c>
      <c r="K50">
        <v>5</v>
      </c>
      <c r="L50">
        <v>0.01</v>
      </c>
      <c r="M50">
        <v>60911</v>
      </c>
      <c r="N50">
        <v>0.3231436029616982</v>
      </c>
      <c r="O50">
        <v>-1.5070348541313431E-2</v>
      </c>
      <c r="P50">
        <v>-0.25999999999999091</v>
      </c>
      <c r="Q50">
        <v>-2476.7200000000012</v>
      </c>
      <c r="R50">
        <v>-917.94999999994457</v>
      </c>
      <c r="S50">
        <f>Q50/R50</f>
        <v>2.6980990250015258</v>
      </c>
    </row>
    <row r="51" spans="1:19" x14ac:dyDescent="0.15">
      <c r="A51" t="s">
        <v>20</v>
      </c>
      <c r="B51">
        <v>4.0999999999999996</v>
      </c>
      <c r="C51">
        <v>32</v>
      </c>
      <c r="D51">
        <v>25</v>
      </c>
      <c r="E51">
        <v>5</v>
      </c>
      <c r="F51">
        <v>2</v>
      </c>
      <c r="G51">
        <v>1</v>
      </c>
      <c r="H51">
        <v>1.2</v>
      </c>
      <c r="I51">
        <v>6</v>
      </c>
      <c r="K51">
        <v>3</v>
      </c>
      <c r="L51">
        <v>0.01</v>
      </c>
      <c r="M51">
        <v>61644</v>
      </c>
      <c r="N51">
        <v>0.31691648822269808</v>
      </c>
      <c r="O51">
        <v>-3.9986535591460197E-2</v>
      </c>
      <c r="P51">
        <v>-0.30999999999994537</v>
      </c>
      <c r="Q51">
        <v>-3651.810000000015</v>
      </c>
      <c r="R51">
        <v>-2464.9300000000039</v>
      </c>
      <c r="S51">
        <f>Q51/R51</f>
        <v>1.4815065742232068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US100</vt:lpstr>
      <vt:lpstr>US30</vt:lpstr>
      <vt:lpstr>XAUUSD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Ikuo Kudo</cp:lastModifiedBy>
  <dcterms:created xsi:type="dcterms:W3CDTF">2025-11-04T19:38:52Z</dcterms:created>
  <dcterms:modified xsi:type="dcterms:W3CDTF">2025-11-06T13:55:56Z</dcterms:modified>
</cp:coreProperties>
</file>