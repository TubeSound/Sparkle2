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ocs9\develop\github\TubeSound\Sparkle2\Montblanc\v3\"/>
    </mc:Choice>
  </mc:AlternateContent>
  <xr:revisionPtr revIDLastSave="0" documentId="13_ncr:1_{CD49AD38-609B-413C-9722-18A67A92AF05}" xr6:coauthVersionLast="47" xr6:coauthVersionMax="47" xr10:uidLastSave="{00000000-0000-0000-0000-000000000000}"/>
  <bookViews>
    <workbookView xWindow="7410" yWindow="7410" windowWidth="43200" windowHeight="23445" xr2:uid="{00000000-000D-0000-FFFF-FFFF00000000}"/>
  </bookViews>
  <sheets>
    <sheet name="Sheet1" sheetId="2" r:id="rId1"/>
    <sheet name="JP225" sheetId="1" r:id="rId2"/>
    <sheet name="XAUU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2" l="1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</calcChain>
</file>

<file path=xl/sharedStrings.xml><?xml version="1.0" encoding="utf-8"?>
<sst xmlns="http://schemas.openxmlformats.org/spreadsheetml/2006/main" count="156" uniqueCount="20">
  <si>
    <t>symbol</t>
  </si>
  <si>
    <t>version</t>
  </si>
  <si>
    <t>i</t>
  </si>
  <si>
    <t>atr_term</t>
  </si>
  <si>
    <t>trend_minutes</t>
  </si>
  <si>
    <t>trend_multiply</t>
  </si>
  <si>
    <t>trend_micro_minutes</t>
  </si>
  <si>
    <t>trend_micro_multiply</t>
  </si>
  <si>
    <t>sl</t>
  </si>
  <si>
    <t>sl_loose</t>
  </si>
  <si>
    <t>position_max</t>
  </si>
  <si>
    <t>volume</t>
  </si>
  <si>
    <t>trades</t>
  </si>
  <si>
    <t>win_rate</t>
  </si>
  <si>
    <t>profit_mean</t>
  </si>
  <si>
    <t>profit_median</t>
  </si>
  <si>
    <t>drawdown_min</t>
  </si>
  <si>
    <t>profit</t>
  </si>
  <si>
    <t>JP225</t>
  </si>
  <si>
    <t>XAUUSD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</si>
</sst>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142875</xdr:colOff>
      <xdr:row>1</xdr:row>
      <xdr:rowOff>47624</xdr:rowOff>
    </xdr:from>
    <xdr:to>
      <xdr:col>29</xdr:col>
      <xdr:colOff>352425</xdr:colOff>
      <xdr:row>21</xdr:row>
      <xdr:rowOff>152399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A92016D2-2842-6DF7-59F2-C0FF62E7EA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73075" y="219074"/>
          <a:ext cx="7067550" cy="3533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381000</xdr:colOff>
      <xdr:row>0</xdr:row>
      <xdr:rowOff>66675</xdr:rowOff>
    </xdr:from>
    <xdr:to>
      <xdr:col>28</xdr:col>
      <xdr:colOff>457200</xdr:colOff>
      <xdr:row>18</xdr:row>
      <xdr:rowOff>104775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B21ADF8-60A8-E9B0-42ED-660108C427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11200" y="66675"/>
          <a:ext cx="6248400" cy="3124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E71A-63C7-47D0-9B4B-DB86F7FDBB24}">
  <dimension ref="A1:S3"/>
  <sheetViews>
    <sheetView tabSelected="1" workbookViewId="0">
      <selection activeCell="I2" sqref="I2"/>
    </sheetView>
  </sheetViews>
  <sheetFormatPr defaultRowHeight="13.5" x14ac:dyDescent="0.15"/>
  <sheetData>
    <row r="1" spans="1:19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 x14ac:dyDescent="0.15">
      <c r="A2" t="s">
        <v>18</v>
      </c>
      <c r="B2">
        <v>3</v>
      </c>
      <c r="C2">
        <v>2</v>
      </c>
      <c r="D2">
        <v>20</v>
      </c>
      <c r="E2">
        <v>15</v>
      </c>
      <c r="F2">
        <v>2.6</v>
      </c>
      <c r="G2">
        <v>1</v>
      </c>
      <c r="H2">
        <v>1</v>
      </c>
      <c r="I2">
        <v>100</v>
      </c>
      <c r="K2">
        <v>20</v>
      </c>
      <c r="L2">
        <v>0.01</v>
      </c>
      <c r="M2">
        <v>95583</v>
      </c>
      <c r="N2">
        <v>0.2764089848613247</v>
      </c>
      <c r="O2">
        <v>3.7741009384514008</v>
      </c>
      <c r="P2">
        <v>-60</v>
      </c>
      <c r="Q2">
        <v>-123908</v>
      </c>
      <c r="R2">
        <v>360739.89000000153</v>
      </c>
      <c r="S2">
        <v>-0.34348294556501491</v>
      </c>
    </row>
    <row r="3" spans="1:19" x14ac:dyDescent="0.15">
      <c r="A3" s="2" t="s">
        <v>19</v>
      </c>
      <c r="B3" s="2">
        <v>3</v>
      </c>
      <c r="C3" s="2">
        <v>47</v>
      </c>
      <c r="D3" s="2">
        <v>30</v>
      </c>
      <c r="E3" s="2">
        <v>30</v>
      </c>
      <c r="F3" s="2">
        <v>2</v>
      </c>
      <c r="G3" s="2">
        <v>1</v>
      </c>
      <c r="H3" s="2">
        <v>1.8</v>
      </c>
      <c r="I3" s="2">
        <v>20</v>
      </c>
      <c r="J3" s="2"/>
      <c r="K3" s="2">
        <v>20</v>
      </c>
      <c r="L3" s="2">
        <v>0.01</v>
      </c>
      <c r="M3" s="2">
        <v>37156</v>
      </c>
      <c r="N3" s="2">
        <v>0.37162234901496388</v>
      </c>
      <c r="O3" s="2">
        <v>0.31565346108300302</v>
      </c>
      <c r="P3" s="2">
        <v>-1.9600000000000359</v>
      </c>
      <c r="Q3" s="2">
        <v>-5965.7100000000064</v>
      </c>
      <c r="R3" s="2">
        <v>11728.42000000006</v>
      </c>
      <c r="S3" s="2">
        <f>Q3/R3</f>
        <v>-0.50865419212476837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1"/>
  <sheetViews>
    <sheetView workbookViewId="0">
      <selection activeCell="E64" sqref="E64"/>
    </sheetView>
  </sheetViews>
  <sheetFormatPr defaultRowHeight="13.5" x14ac:dyDescent="0.15"/>
  <sheetData>
    <row r="1" spans="1:1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9" x14ac:dyDescent="0.15">
      <c r="A2" t="s">
        <v>18</v>
      </c>
      <c r="B2">
        <v>3</v>
      </c>
      <c r="C2">
        <v>33</v>
      </c>
      <c r="D2">
        <v>25</v>
      </c>
      <c r="E2">
        <v>30</v>
      </c>
      <c r="F2">
        <v>2.8</v>
      </c>
      <c r="G2">
        <v>1</v>
      </c>
      <c r="H2">
        <v>2.1</v>
      </c>
      <c r="I2">
        <v>100</v>
      </c>
      <c r="K2">
        <v>10</v>
      </c>
      <c r="L2">
        <v>0.01</v>
      </c>
      <c r="M2">
        <v>49945</v>
      </c>
      <c r="N2">
        <v>0.35535088597457198</v>
      </c>
      <c r="O2">
        <v>9.4455000500550685</v>
      </c>
      <c r="P2">
        <v>-70</v>
      </c>
      <c r="Q2">
        <v>-197935.889999999</v>
      </c>
      <c r="R2">
        <v>471755.50000000239</v>
      </c>
      <c r="S2">
        <f>Q2/R2</f>
        <v>-0.41957304154376152</v>
      </c>
    </row>
    <row r="3" spans="1:19" x14ac:dyDescent="0.15">
      <c r="A3" t="s">
        <v>18</v>
      </c>
      <c r="B3">
        <v>3</v>
      </c>
      <c r="C3">
        <v>9</v>
      </c>
      <c r="D3">
        <v>20</v>
      </c>
      <c r="E3">
        <v>30</v>
      </c>
      <c r="F3">
        <v>2.8</v>
      </c>
      <c r="G3">
        <v>1</v>
      </c>
      <c r="H3">
        <v>1.6</v>
      </c>
      <c r="I3">
        <v>100</v>
      </c>
      <c r="K3">
        <v>10</v>
      </c>
      <c r="L3">
        <v>0.01</v>
      </c>
      <c r="M3">
        <v>61128</v>
      </c>
      <c r="N3">
        <v>0.34092396283208998</v>
      </c>
      <c r="O3">
        <v>6.511036186363043</v>
      </c>
      <c r="P3">
        <v>-75</v>
      </c>
      <c r="Q3">
        <v>-308203.09000000003</v>
      </c>
      <c r="R3">
        <v>398006.62000000238</v>
      </c>
      <c r="S3">
        <f t="shared" ref="S3:S51" si="0">Q3/R3</f>
        <v>-0.77436674294512531</v>
      </c>
    </row>
    <row r="4" spans="1:19" x14ac:dyDescent="0.15">
      <c r="A4" s="2" t="s">
        <v>18</v>
      </c>
      <c r="B4" s="2">
        <v>3</v>
      </c>
      <c r="C4" s="2">
        <v>2</v>
      </c>
      <c r="D4" s="2">
        <v>20</v>
      </c>
      <c r="E4" s="2">
        <v>15</v>
      </c>
      <c r="F4" s="2">
        <v>2.6</v>
      </c>
      <c r="G4" s="2">
        <v>1</v>
      </c>
      <c r="H4" s="2">
        <v>1</v>
      </c>
      <c r="I4" s="2">
        <v>60</v>
      </c>
      <c r="J4" s="2"/>
      <c r="K4" s="2">
        <v>10</v>
      </c>
      <c r="L4" s="2">
        <v>0.01</v>
      </c>
      <c r="M4" s="2">
        <v>95583</v>
      </c>
      <c r="N4" s="2">
        <v>0.2764089848613247</v>
      </c>
      <c r="O4" s="2">
        <v>3.7741009384514008</v>
      </c>
      <c r="P4" s="2">
        <v>-60</v>
      </c>
      <c r="Q4" s="2">
        <v>-123908</v>
      </c>
      <c r="R4" s="2">
        <v>360739.89000000153</v>
      </c>
      <c r="S4" s="2">
        <f t="shared" si="0"/>
        <v>-0.34348294556501491</v>
      </c>
    </row>
    <row r="5" spans="1:19" x14ac:dyDescent="0.15">
      <c r="A5" t="s">
        <v>18</v>
      </c>
      <c r="B5">
        <v>3</v>
      </c>
      <c r="C5">
        <v>36</v>
      </c>
      <c r="D5">
        <v>30</v>
      </c>
      <c r="E5">
        <v>20</v>
      </c>
      <c r="F5">
        <v>3.6</v>
      </c>
      <c r="G5">
        <v>1</v>
      </c>
      <c r="H5">
        <v>1.2</v>
      </c>
      <c r="I5">
        <v>40</v>
      </c>
      <c r="K5">
        <v>10</v>
      </c>
      <c r="L5">
        <v>0.01</v>
      </c>
      <c r="M5">
        <v>95241</v>
      </c>
      <c r="N5">
        <v>0.20929011665144209</v>
      </c>
      <c r="O5">
        <v>3.479128316586344</v>
      </c>
      <c r="P5">
        <v>-40</v>
      </c>
      <c r="Q5">
        <v>-265168.39999999932</v>
      </c>
      <c r="R5">
        <v>331355.66000000219</v>
      </c>
      <c r="S5">
        <f t="shared" si="0"/>
        <v>-0.80025311775268171</v>
      </c>
    </row>
    <row r="6" spans="1:19" x14ac:dyDescent="0.15">
      <c r="A6" t="s">
        <v>18</v>
      </c>
      <c r="B6">
        <v>3</v>
      </c>
      <c r="C6">
        <v>15</v>
      </c>
      <c r="D6">
        <v>15</v>
      </c>
      <c r="E6">
        <v>15</v>
      </c>
      <c r="F6">
        <v>2.8</v>
      </c>
      <c r="G6">
        <v>1</v>
      </c>
      <c r="H6">
        <v>1.1000000000000001</v>
      </c>
      <c r="I6">
        <v>100</v>
      </c>
      <c r="K6">
        <v>7</v>
      </c>
      <c r="L6">
        <v>0.01</v>
      </c>
      <c r="M6">
        <v>62643</v>
      </c>
      <c r="N6">
        <v>0.32646903883913608</v>
      </c>
      <c r="O6">
        <v>4.8502720176236807</v>
      </c>
      <c r="P6">
        <v>-50</v>
      </c>
      <c r="Q6">
        <v>-131012</v>
      </c>
      <c r="R6">
        <v>303835.59000000049</v>
      </c>
      <c r="S6">
        <f t="shared" si="0"/>
        <v>-0.43119372552767693</v>
      </c>
    </row>
    <row r="7" spans="1:19" x14ac:dyDescent="0.15">
      <c r="A7" t="s">
        <v>18</v>
      </c>
      <c r="B7">
        <v>3</v>
      </c>
      <c r="C7">
        <v>6</v>
      </c>
      <c r="D7">
        <v>25</v>
      </c>
      <c r="E7">
        <v>10</v>
      </c>
      <c r="F7">
        <v>3.6</v>
      </c>
      <c r="G7">
        <v>1</v>
      </c>
      <c r="H7">
        <v>1.1000000000000001</v>
      </c>
      <c r="I7">
        <v>100</v>
      </c>
      <c r="K7">
        <v>10</v>
      </c>
      <c r="L7">
        <v>0.01</v>
      </c>
      <c r="M7">
        <v>77955</v>
      </c>
      <c r="N7">
        <v>0.32286575588480532</v>
      </c>
      <c r="O7">
        <v>3.8563230068629362</v>
      </c>
      <c r="P7">
        <v>-50</v>
      </c>
      <c r="Q7">
        <v>-235352</v>
      </c>
      <c r="R7">
        <v>300619.66000000091</v>
      </c>
      <c r="S7">
        <f t="shared" si="0"/>
        <v>-0.78288958213843796</v>
      </c>
    </row>
    <row r="8" spans="1:19" x14ac:dyDescent="0.15">
      <c r="A8" t="s">
        <v>18</v>
      </c>
      <c r="B8">
        <v>3</v>
      </c>
      <c r="C8">
        <v>10</v>
      </c>
      <c r="D8">
        <v>15</v>
      </c>
      <c r="E8">
        <v>20</v>
      </c>
      <c r="F8">
        <v>3.6</v>
      </c>
      <c r="G8">
        <v>1</v>
      </c>
      <c r="H8">
        <v>1.7</v>
      </c>
      <c r="I8">
        <v>100</v>
      </c>
      <c r="K8">
        <v>10</v>
      </c>
      <c r="L8">
        <v>0.01</v>
      </c>
      <c r="M8">
        <v>58781</v>
      </c>
      <c r="N8">
        <v>0.34028002245623579</v>
      </c>
      <c r="O8">
        <v>4.8090537758799616</v>
      </c>
      <c r="P8">
        <v>-75</v>
      </c>
      <c r="Q8">
        <v>-221324.3600000006</v>
      </c>
      <c r="R8">
        <v>282680.99000000057</v>
      </c>
      <c r="S8">
        <f t="shared" si="0"/>
        <v>-0.78294744899542112</v>
      </c>
    </row>
    <row r="9" spans="1:19" x14ac:dyDescent="0.15">
      <c r="A9" t="s">
        <v>18</v>
      </c>
      <c r="B9">
        <v>3</v>
      </c>
      <c r="C9">
        <v>32</v>
      </c>
      <c r="D9">
        <v>5</v>
      </c>
      <c r="E9">
        <v>30</v>
      </c>
      <c r="F9">
        <v>3.4</v>
      </c>
      <c r="G9">
        <v>1</v>
      </c>
      <c r="H9">
        <v>1.1000000000000001</v>
      </c>
      <c r="I9">
        <v>60</v>
      </c>
      <c r="K9">
        <v>10</v>
      </c>
      <c r="L9">
        <v>0.01</v>
      </c>
      <c r="M9">
        <v>85975</v>
      </c>
      <c r="N9">
        <v>0.25948240767665021</v>
      </c>
      <c r="O9">
        <v>3.2313174760104699</v>
      </c>
      <c r="P9">
        <v>-60</v>
      </c>
      <c r="Q9">
        <v>-322610.91999999707</v>
      </c>
      <c r="R9">
        <v>277812.52000000363</v>
      </c>
      <c r="S9">
        <f t="shared" si="0"/>
        <v>-1.1612540716307274</v>
      </c>
    </row>
    <row r="10" spans="1:19" x14ac:dyDescent="0.15">
      <c r="A10" t="s">
        <v>18</v>
      </c>
      <c r="B10">
        <v>3</v>
      </c>
      <c r="C10">
        <v>16</v>
      </c>
      <c r="D10">
        <v>5</v>
      </c>
      <c r="E10">
        <v>30</v>
      </c>
      <c r="F10">
        <v>3.2</v>
      </c>
      <c r="G10">
        <v>1</v>
      </c>
      <c r="H10">
        <v>1.1000000000000001</v>
      </c>
      <c r="I10">
        <v>60</v>
      </c>
      <c r="K10">
        <v>10</v>
      </c>
      <c r="L10">
        <v>0.01</v>
      </c>
      <c r="M10">
        <v>86154</v>
      </c>
      <c r="N10">
        <v>0.26022007103558742</v>
      </c>
      <c r="O10">
        <v>3.044254474545582</v>
      </c>
      <c r="P10">
        <v>-60</v>
      </c>
      <c r="Q10">
        <v>-281276.44999999698</v>
      </c>
      <c r="R10">
        <v>262274.7000000031</v>
      </c>
      <c r="S10">
        <f t="shared" si="0"/>
        <v>-1.0724498016773774</v>
      </c>
    </row>
    <row r="11" spans="1:19" x14ac:dyDescent="0.15">
      <c r="A11" t="s">
        <v>18</v>
      </c>
      <c r="B11">
        <v>3</v>
      </c>
      <c r="C11">
        <v>4</v>
      </c>
      <c r="D11">
        <v>15</v>
      </c>
      <c r="E11">
        <v>10</v>
      </c>
      <c r="F11">
        <v>2.6</v>
      </c>
      <c r="G11">
        <v>1</v>
      </c>
      <c r="H11">
        <v>1</v>
      </c>
      <c r="I11">
        <v>60</v>
      </c>
      <c r="K11">
        <v>10</v>
      </c>
      <c r="L11">
        <v>0.01</v>
      </c>
      <c r="M11">
        <v>103072</v>
      </c>
      <c r="N11">
        <v>0.29299906861223218</v>
      </c>
      <c r="O11">
        <v>2.33179301847253</v>
      </c>
      <c r="P11">
        <v>-44</v>
      </c>
      <c r="Q11">
        <v>-132403</v>
      </c>
      <c r="R11">
        <v>240342.5700000014</v>
      </c>
      <c r="S11">
        <f t="shared" si="0"/>
        <v>-0.55089283600487104</v>
      </c>
    </row>
    <row r="12" spans="1:19" x14ac:dyDescent="0.15">
      <c r="A12" t="s">
        <v>18</v>
      </c>
      <c r="B12">
        <v>3</v>
      </c>
      <c r="C12">
        <v>29</v>
      </c>
      <c r="D12">
        <v>10</v>
      </c>
      <c r="E12">
        <v>15</v>
      </c>
      <c r="F12">
        <v>3.6</v>
      </c>
      <c r="G12">
        <v>1</v>
      </c>
      <c r="H12">
        <v>1</v>
      </c>
      <c r="I12">
        <v>100</v>
      </c>
      <c r="K12">
        <v>7</v>
      </c>
      <c r="L12">
        <v>0.01</v>
      </c>
      <c r="M12">
        <v>59139</v>
      </c>
      <c r="N12">
        <v>0.31857150103992288</v>
      </c>
      <c r="O12">
        <v>3.944988586212141</v>
      </c>
      <c r="P12">
        <v>-65</v>
      </c>
      <c r="Q12">
        <v>-236103.2199999998</v>
      </c>
      <c r="R12">
        <v>233302.6800000006</v>
      </c>
      <c r="S12">
        <f t="shared" si="0"/>
        <v>-1.0120038912540532</v>
      </c>
    </row>
    <row r="13" spans="1:19" x14ac:dyDescent="0.15">
      <c r="A13" t="s">
        <v>18</v>
      </c>
      <c r="B13">
        <v>3</v>
      </c>
      <c r="C13">
        <v>31</v>
      </c>
      <c r="D13">
        <v>10</v>
      </c>
      <c r="E13">
        <v>30</v>
      </c>
      <c r="F13">
        <v>2.8</v>
      </c>
      <c r="G13">
        <v>1</v>
      </c>
      <c r="H13">
        <v>1</v>
      </c>
      <c r="I13">
        <v>80</v>
      </c>
      <c r="K13">
        <v>5</v>
      </c>
      <c r="L13">
        <v>0.01</v>
      </c>
      <c r="M13">
        <v>50033</v>
      </c>
      <c r="N13">
        <v>0.2897087921971499</v>
      </c>
      <c r="O13">
        <v>4.6150970359562766</v>
      </c>
      <c r="P13">
        <v>-80</v>
      </c>
      <c r="Q13">
        <v>-141045.33000000019</v>
      </c>
      <c r="R13">
        <v>230907.15000000031</v>
      </c>
      <c r="S13">
        <f t="shared" si="0"/>
        <v>-0.61083136663373139</v>
      </c>
    </row>
    <row r="14" spans="1:19" x14ac:dyDescent="0.15">
      <c r="A14" t="s">
        <v>18</v>
      </c>
      <c r="B14">
        <v>3</v>
      </c>
      <c r="C14">
        <v>12</v>
      </c>
      <c r="D14">
        <v>25</v>
      </c>
      <c r="E14">
        <v>30</v>
      </c>
      <c r="F14">
        <v>3.8</v>
      </c>
      <c r="G14">
        <v>1</v>
      </c>
      <c r="H14">
        <v>1</v>
      </c>
      <c r="I14">
        <v>100</v>
      </c>
      <c r="K14">
        <v>10</v>
      </c>
      <c r="L14">
        <v>0.01</v>
      </c>
      <c r="M14">
        <v>70967</v>
      </c>
      <c r="N14">
        <v>0.32127608606817248</v>
      </c>
      <c r="O14">
        <v>3.2385786351402821</v>
      </c>
      <c r="P14">
        <v>-100</v>
      </c>
      <c r="Q14">
        <v>-224976</v>
      </c>
      <c r="R14">
        <v>229832.2100000011</v>
      </c>
      <c r="S14">
        <f t="shared" si="0"/>
        <v>-0.97887062914288181</v>
      </c>
    </row>
    <row r="15" spans="1:19" x14ac:dyDescent="0.15">
      <c r="A15" t="s">
        <v>18</v>
      </c>
      <c r="B15">
        <v>3</v>
      </c>
      <c r="C15">
        <v>38</v>
      </c>
      <c r="D15">
        <v>30</v>
      </c>
      <c r="E15">
        <v>30</v>
      </c>
      <c r="F15">
        <v>2.8</v>
      </c>
      <c r="G15">
        <v>1</v>
      </c>
      <c r="H15">
        <v>2.2999999999999998</v>
      </c>
      <c r="I15">
        <v>80</v>
      </c>
      <c r="K15">
        <v>5</v>
      </c>
      <c r="L15">
        <v>0.01</v>
      </c>
      <c r="M15">
        <v>33819</v>
      </c>
      <c r="N15">
        <v>0.31343327715189678</v>
      </c>
      <c r="O15">
        <v>6.7654419113516138</v>
      </c>
      <c r="P15">
        <v>-80</v>
      </c>
      <c r="Q15">
        <v>-96019</v>
      </c>
      <c r="R15">
        <v>228800.48000000059</v>
      </c>
      <c r="S15">
        <f t="shared" si="0"/>
        <v>-0.41966258112745108</v>
      </c>
    </row>
    <row r="16" spans="1:19" x14ac:dyDescent="0.15">
      <c r="A16" t="s">
        <v>18</v>
      </c>
      <c r="B16">
        <v>3</v>
      </c>
      <c r="C16">
        <v>44</v>
      </c>
      <c r="D16">
        <v>30</v>
      </c>
      <c r="E16">
        <v>30</v>
      </c>
      <c r="F16">
        <v>3.2</v>
      </c>
      <c r="G16">
        <v>1</v>
      </c>
      <c r="H16">
        <v>1.4</v>
      </c>
      <c r="I16">
        <v>40</v>
      </c>
      <c r="K16">
        <v>5</v>
      </c>
      <c r="L16">
        <v>0.01</v>
      </c>
      <c r="M16">
        <v>58535</v>
      </c>
      <c r="N16">
        <v>0.20462970872127789</v>
      </c>
      <c r="O16">
        <v>3.3719144101819469</v>
      </c>
      <c r="P16">
        <v>-40</v>
      </c>
      <c r="Q16">
        <v>-117944</v>
      </c>
      <c r="R16">
        <v>197375.0100000005</v>
      </c>
      <c r="S16">
        <f t="shared" si="0"/>
        <v>-0.59756298429066423</v>
      </c>
    </row>
    <row r="17" spans="1:19" x14ac:dyDescent="0.15">
      <c r="A17" t="s">
        <v>18</v>
      </c>
      <c r="B17">
        <v>3</v>
      </c>
      <c r="C17">
        <v>26</v>
      </c>
      <c r="D17">
        <v>30</v>
      </c>
      <c r="E17">
        <v>15</v>
      </c>
      <c r="F17">
        <v>3.2</v>
      </c>
      <c r="G17">
        <v>1</v>
      </c>
      <c r="H17">
        <v>1.9</v>
      </c>
      <c r="I17">
        <v>100</v>
      </c>
      <c r="K17">
        <v>10</v>
      </c>
      <c r="L17">
        <v>0.01</v>
      </c>
      <c r="M17">
        <v>55653</v>
      </c>
      <c r="N17">
        <v>0.34068244299498679</v>
      </c>
      <c r="O17">
        <v>3.516029863619218</v>
      </c>
      <c r="P17">
        <v>-56</v>
      </c>
      <c r="Q17">
        <v>-191829.34999999969</v>
      </c>
      <c r="R17">
        <v>195677.61000000089</v>
      </c>
      <c r="S17">
        <f t="shared" si="0"/>
        <v>-0.98033367230925816</v>
      </c>
    </row>
    <row r="18" spans="1:19" x14ac:dyDescent="0.15">
      <c r="A18" t="s">
        <v>18</v>
      </c>
      <c r="B18">
        <v>3</v>
      </c>
      <c r="C18">
        <v>22</v>
      </c>
      <c r="D18">
        <v>5</v>
      </c>
      <c r="E18">
        <v>30</v>
      </c>
      <c r="F18">
        <v>3.2</v>
      </c>
      <c r="G18">
        <v>1</v>
      </c>
      <c r="H18">
        <v>1.5</v>
      </c>
      <c r="I18">
        <v>100</v>
      </c>
      <c r="K18">
        <v>10</v>
      </c>
      <c r="L18">
        <v>0.01</v>
      </c>
      <c r="M18">
        <v>62735</v>
      </c>
      <c r="N18">
        <v>0.33818442655614889</v>
      </c>
      <c r="O18">
        <v>3.0482375069737779</v>
      </c>
      <c r="P18">
        <v>-85</v>
      </c>
      <c r="Q18">
        <v>-300556.0300000009</v>
      </c>
      <c r="R18">
        <v>191231.17999999979</v>
      </c>
      <c r="S18">
        <f t="shared" si="0"/>
        <v>-1.5716894598464604</v>
      </c>
    </row>
    <row r="19" spans="1:19" x14ac:dyDescent="0.15">
      <c r="A19" t="s">
        <v>18</v>
      </c>
      <c r="B19">
        <v>3</v>
      </c>
      <c r="C19">
        <v>35</v>
      </c>
      <c r="D19">
        <v>5</v>
      </c>
      <c r="E19">
        <v>30</v>
      </c>
      <c r="F19">
        <v>3.2</v>
      </c>
      <c r="G19">
        <v>1</v>
      </c>
      <c r="H19">
        <v>1.6</v>
      </c>
      <c r="I19">
        <v>100</v>
      </c>
      <c r="K19">
        <v>10</v>
      </c>
      <c r="L19">
        <v>0.01</v>
      </c>
      <c r="M19">
        <v>60815</v>
      </c>
      <c r="N19">
        <v>0.34077119131793138</v>
      </c>
      <c r="O19">
        <v>3.0887787552413051</v>
      </c>
      <c r="P19">
        <v>-85</v>
      </c>
      <c r="Q19">
        <v>-285134.41000000102</v>
      </c>
      <c r="R19">
        <v>187844.0799999997</v>
      </c>
      <c r="S19">
        <f t="shared" si="0"/>
        <v>-1.5179313077101044</v>
      </c>
    </row>
    <row r="20" spans="1:19" x14ac:dyDescent="0.15">
      <c r="A20" t="s">
        <v>18</v>
      </c>
      <c r="B20">
        <v>3</v>
      </c>
      <c r="C20">
        <v>37</v>
      </c>
      <c r="D20">
        <v>25</v>
      </c>
      <c r="E20">
        <v>15</v>
      </c>
      <c r="F20">
        <v>2.6</v>
      </c>
      <c r="G20">
        <v>1</v>
      </c>
      <c r="H20">
        <v>1.3</v>
      </c>
      <c r="I20">
        <v>80</v>
      </c>
      <c r="K20">
        <v>5</v>
      </c>
      <c r="L20">
        <v>0.01</v>
      </c>
      <c r="M20">
        <v>52806</v>
      </c>
      <c r="N20">
        <v>0.3063856379956823</v>
      </c>
      <c r="O20">
        <v>3.451366132636446</v>
      </c>
      <c r="P20">
        <v>-52.5</v>
      </c>
      <c r="Q20">
        <v>-64294</v>
      </c>
      <c r="R20">
        <v>182252.84000000081</v>
      </c>
      <c r="S20">
        <f t="shared" si="0"/>
        <v>-0.35277365225145307</v>
      </c>
    </row>
    <row r="21" spans="1:19" x14ac:dyDescent="0.15">
      <c r="A21" t="s">
        <v>18</v>
      </c>
      <c r="B21">
        <v>3</v>
      </c>
      <c r="C21">
        <v>13</v>
      </c>
      <c r="D21">
        <v>30</v>
      </c>
      <c r="E21">
        <v>30</v>
      </c>
      <c r="F21">
        <v>2.8</v>
      </c>
      <c r="G21">
        <v>1</v>
      </c>
      <c r="H21">
        <v>1.2</v>
      </c>
      <c r="I21">
        <v>80</v>
      </c>
      <c r="K21">
        <v>4</v>
      </c>
      <c r="L21">
        <v>0.01</v>
      </c>
      <c r="M21">
        <v>39868</v>
      </c>
      <c r="N21">
        <v>0.29775760008026492</v>
      </c>
      <c r="O21">
        <v>4.4106727199759268</v>
      </c>
      <c r="P21">
        <v>-80</v>
      </c>
      <c r="Q21">
        <v>-115027</v>
      </c>
      <c r="R21">
        <v>175844.70000000091</v>
      </c>
      <c r="S21">
        <f t="shared" si="0"/>
        <v>-0.65413970395467935</v>
      </c>
    </row>
    <row r="22" spans="1:19" x14ac:dyDescent="0.15">
      <c r="A22" t="s">
        <v>18</v>
      </c>
      <c r="B22">
        <v>3</v>
      </c>
      <c r="C22">
        <v>21</v>
      </c>
      <c r="D22">
        <v>10</v>
      </c>
      <c r="E22">
        <v>15</v>
      </c>
      <c r="F22">
        <v>3</v>
      </c>
      <c r="G22">
        <v>1</v>
      </c>
      <c r="H22">
        <v>1.1000000000000001</v>
      </c>
      <c r="I22">
        <v>80</v>
      </c>
      <c r="K22">
        <v>10</v>
      </c>
      <c r="L22">
        <v>0.01</v>
      </c>
      <c r="M22">
        <v>81203</v>
      </c>
      <c r="N22">
        <v>0.30638030614632472</v>
      </c>
      <c r="O22">
        <v>2.0918195140573621</v>
      </c>
      <c r="P22">
        <v>-60</v>
      </c>
      <c r="Q22">
        <v>-282876.84999999963</v>
      </c>
      <c r="R22">
        <v>169862.02000000069</v>
      </c>
      <c r="S22">
        <f t="shared" si="0"/>
        <v>-1.6653331333278534</v>
      </c>
    </row>
    <row r="23" spans="1:19" x14ac:dyDescent="0.15">
      <c r="A23" t="s">
        <v>18</v>
      </c>
      <c r="B23">
        <v>3</v>
      </c>
      <c r="C23">
        <v>5</v>
      </c>
      <c r="D23">
        <v>20</v>
      </c>
      <c r="E23">
        <v>30</v>
      </c>
      <c r="F23">
        <v>2.4</v>
      </c>
      <c r="G23">
        <v>1</v>
      </c>
      <c r="H23">
        <v>1.1000000000000001</v>
      </c>
      <c r="I23">
        <v>80</v>
      </c>
      <c r="K23">
        <v>10</v>
      </c>
      <c r="L23">
        <v>0.01</v>
      </c>
      <c r="M23">
        <v>79574</v>
      </c>
      <c r="N23">
        <v>0.30326488551536929</v>
      </c>
      <c r="O23">
        <v>2.1193613491844081</v>
      </c>
      <c r="P23">
        <v>-80</v>
      </c>
      <c r="Q23">
        <v>-350990.75999999978</v>
      </c>
      <c r="R23">
        <v>168646.06000000119</v>
      </c>
      <c r="S23">
        <f t="shared" si="0"/>
        <v>-2.081227157041186</v>
      </c>
    </row>
    <row r="24" spans="1:19" x14ac:dyDescent="0.15">
      <c r="A24" t="s">
        <v>18</v>
      </c>
      <c r="B24">
        <v>3</v>
      </c>
      <c r="C24">
        <v>28</v>
      </c>
      <c r="D24">
        <v>20</v>
      </c>
      <c r="E24">
        <v>25</v>
      </c>
      <c r="F24">
        <v>2.2000000000000002</v>
      </c>
      <c r="G24">
        <v>1</v>
      </c>
      <c r="H24">
        <v>2.1</v>
      </c>
      <c r="I24">
        <v>100</v>
      </c>
      <c r="K24">
        <v>10</v>
      </c>
      <c r="L24">
        <v>0.01</v>
      </c>
      <c r="M24">
        <v>51248</v>
      </c>
      <c r="N24">
        <v>0.34493053387449268</v>
      </c>
      <c r="O24">
        <v>3.2222980408991631</v>
      </c>
      <c r="P24">
        <v>-50</v>
      </c>
      <c r="Q24">
        <v>-156718.54999999961</v>
      </c>
      <c r="R24">
        <v>165136.33000000109</v>
      </c>
      <c r="S24">
        <f t="shared" si="0"/>
        <v>-0.94902526900045903</v>
      </c>
    </row>
    <row r="25" spans="1:19" x14ac:dyDescent="0.15">
      <c r="A25" t="s">
        <v>18</v>
      </c>
      <c r="B25">
        <v>3</v>
      </c>
      <c r="C25">
        <v>48</v>
      </c>
      <c r="D25">
        <v>5</v>
      </c>
      <c r="E25">
        <v>30</v>
      </c>
      <c r="F25">
        <v>2</v>
      </c>
      <c r="G25">
        <v>1</v>
      </c>
      <c r="H25">
        <v>1.3</v>
      </c>
      <c r="I25">
        <v>40</v>
      </c>
      <c r="K25">
        <v>10</v>
      </c>
      <c r="L25">
        <v>0.01</v>
      </c>
      <c r="M25">
        <v>92145</v>
      </c>
      <c r="N25">
        <v>0.2269683650767812</v>
      </c>
      <c r="O25">
        <v>1.7463256823484721</v>
      </c>
      <c r="P25">
        <v>-40</v>
      </c>
      <c r="Q25">
        <v>-197926.03</v>
      </c>
      <c r="R25">
        <v>160915.18000000049</v>
      </c>
      <c r="S25">
        <f t="shared" si="0"/>
        <v>-1.2300022285032364</v>
      </c>
    </row>
    <row r="26" spans="1:19" x14ac:dyDescent="0.15">
      <c r="A26" t="s">
        <v>18</v>
      </c>
      <c r="B26">
        <v>3</v>
      </c>
      <c r="C26">
        <v>34</v>
      </c>
      <c r="D26">
        <v>25</v>
      </c>
      <c r="E26">
        <v>30</v>
      </c>
      <c r="F26">
        <v>2.2000000000000002</v>
      </c>
      <c r="G26">
        <v>1</v>
      </c>
      <c r="H26">
        <v>1.6</v>
      </c>
      <c r="I26">
        <v>60</v>
      </c>
      <c r="K26">
        <v>10</v>
      </c>
      <c r="L26">
        <v>0.01</v>
      </c>
      <c r="M26">
        <v>69740</v>
      </c>
      <c r="N26">
        <v>0.280642386005162</v>
      </c>
      <c r="O26">
        <v>2.2872421852595419</v>
      </c>
      <c r="P26">
        <v>-60</v>
      </c>
      <c r="Q26">
        <v>-204115.75999999989</v>
      </c>
      <c r="R26">
        <v>159512.27000000069</v>
      </c>
      <c r="S26">
        <f t="shared" si="0"/>
        <v>-1.2796241944271687</v>
      </c>
    </row>
    <row r="27" spans="1:19" x14ac:dyDescent="0.15">
      <c r="A27" t="s">
        <v>18</v>
      </c>
      <c r="B27">
        <v>3</v>
      </c>
      <c r="C27">
        <v>39</v>
      </c>
      <c r="D27">
        <v>20</v>
      </c>
      <c r="E27">
        <v>25</v>
      </c>
      <c r="F27">
        <v>2.2000000000000002</v>
      </c>
      <c r="G27">
        <v>1</v>
      </c>
      <c r="H27">
        <v>2.2000000000000002</v>
      </c>
      <c r="I27">
        <v>80</v>
      </c>
      <c r="K27">
        <v>10</v>
      </c>
      <c r="L27">
        <v>0.01</v>
      </c>
      <c r="M27">
        <v>49791</v>
      </c>
      <c r="N27">
        <v>0.32572151593661502</v>
      </c>
      <c r="O27">
        <v>3.1132252816774169</v>
      </c>
      <c r="P27">
        <v>-60</v>
      </c>
      <c r="Q27">
        <v>-136254.88999999969</v>
      </c>
      <c r="R27">
        <v>155010.60000000091</v>
      </c>
      <c r="S27">
        <f t="shared" si="0"/>
        <v>-0.87900369394092337</v>
      </c>
    </row>
    <row r="28" spans="1:19" x14ac:dyDescent="0.15">
      <c r="A28" t="s">
        <v>18</v>
      </c>
      <c r="B28">
        <v>3</v>
      </c>
      <c r="C28">
        <v>18</v>
      </c>
      <c r="D28">
        <v>30</v>
      </c>
      <c r="E28">
        <v>20</v>
      </c>
      <c r="F28">
        <v>2.4</v>
      </c>
      <c r="G28">
        <v>1</v>
      </c>
      <c r="H28">
        <v>1.1000000000000001</v>
      </c>
      <c r="I28">
        <v>60</v>
      </c>
      <c r="K28">
        <v>10</v>
      </c>
      <c r="L28">
        <v>0.01</v>
      </c>
      <c r="M28">
        <v>90851</v>
      </c>
      <c r="N28">
        <v>0.27093812946472801</v>
      </c>
      <c r="O28">
        <v>1.550533841124484</v>
      </c>
      <c r="P28">
        <v>-60</v>
      </c>
      <c r="Q28">
        <v>-193584.71999999939</v>
      </c>
      <c r="R28">
        <v>140867.5500000008</v>
      </c>
      <c r="S28">
        <f t="shared" si="0"/>
        <v>-1.3742321776732702</v>
      </c>
    </row>
    <row r="29" spans="1:19" x14ac:dyDescent="0.15">
      <c r="A29" t="s">
        <v>18</v>
      </c>
      <c r="B29">
        <v>3</v>
      </c>
      <c r="C29">
        <v>45</v>
      </c>
      <c r="D29">
        <v>25</v>
      </c>
      <c r="E29">
        <v>25</v>
      </c>
      <c r="F29">
        <v>2</v>
      </c>
      <c r="G29">
        <v>1</v>
      </c>
      <c r="H29">
        <v>1.4</v>
      </c>
      <c r="I29">
        <v>60</v>
      </c>
      <c r="K29">
        <v>10</v>
      </c>
      <c r="L29">
        <v>0.01</v>
      </c>
      <c r="M29">
        <v>79375</v>
      </c>
      <c r="N29">
        <v>0.27866456692913388</v>
      </c>
      <c r="O29">
        <v>1.732034141732286</v>
      </c>
      <c r="P29">
        <v>-60</v>
      </c>
      <c r="Q29">
        <v>-162700</v>
      </c>
      <c r="R29">
        <v>137480.2100000006</v>
      </c>
      <c r="S29">
        <f t="shared" si="0"/>
        <v>-1.1834430570043448</v>
      </c>
    </row>
    <row r="30" spans="1:19" x14ac:dyDescent="0.15">
      <c r="A30" t="s">
        <v>18</v>
      </c>
      <c r="B30">
        <v>3</v>
      </c>
      <c r="C30">
        <v>47</v>
      </c>
      <c r="D30">
        <v>30</v>
      </c>
      <c r="E30">
        <v>10</v>
      </c>
      <c r="F30">
        <v>3</v>
      </c>
      <c r="G30">
        <v>1</v>
      </c>
      <c r="H30">
        <v>2.2000000000000002</v>
      </c>
      <c r="I30">
        <v>60</v>
      </c>
      <c r="K30">
        <v>7</v>
      </c>
      <c r="L30">
        <v>0.01</v>
      </c>
      <c r="M30">
        <v>45895</v>
      </c>
      <c r="N30">
        <v>0.29258089116461489</v>
      </c>
      <c r="O30">
        <v>2.989474016777431</v>
      </c>
      <c r="P30">
        <v>-60</v>
      </c>
      <c r="Q30">
        <v>-90950</v>
      </c>
      <c r="R30">
        <v>137201.9100000005</v>
      </c>
      <c r="S30">
        <f t="shared" si="0"/>
        <v>-0.66289164633349251</v>
      </c>
    </row>
    <row r="31" spans="1:19" x14ac:dyDescent="0.15">
      <c r="A31" t="s">
        <v>18</v>
      </c>
      <c r="B31">
        <v>3</v>
      </c>
      <c r="C31">
        <v>24</v>
      </c>
      <c r="D31">
        <v>25</v>
      </c>
      <c r="E31">
        <v>20</v>
      </c>
      <c r="F31">
        <v>3.8</v>
      </c>
      <c r="G31">
        <v>1</v>
      </c>
      <c r="H31">
        <v>1.3</v>
      </c>
      <c r="I31">
        <v>60</v>
      </c>
      <c r="K31">
        <v>10</v>
      </c>
      <c r="L31">
        <v>0.01</v>
      </c>
      <c r="M31">
        <v>79416</v>
      </c>
      <c r="N31">
        <v>0.26158456734159358</v>
      </c>
      <c r="O31">
        <v>1.6948249722977711</v>
      </c>
      <c r="P31">
        <v>-60</v>
      </c>
      <c r="Q31">
        <v>-325495.07999999961</v>
      </c>
      <c r="R31">
        <v>134596.22000000041</v>
      </c>
      <c r="S31">
        <f t="shared" si="0"/>
        <v>-2.4183077355366933</v>
      </c>
    </row>
    <row r="32" spans="1:19" x14ac:dyDescent="0.15">
      <c r="A32" t="s">
        <v>18</v>
      </c>
      <c r="B32">
        <v>3</v>
      </c>
      <c r="C32">
        <v>14</v>
      </c>
      <c r="D32">
        <v>30</v>
      </c>
      <c r="E32">
        <v>30</v>
      </c>
      <c r="F32">
        <v>3.4</v>
      </c>
      <c r="G32">
        <v>1</v>
      </c>
      <c r="H32">
        <v>2</v>
      </c>
      <c r="I32">
        <v>80</v>
      </c>
      <c r="K32">
        <v>7</v>
      </c>
      <c r="L32">
        <v>0.01</v>
      </c>
      <c r="M32">
        <v>43570</v>
      </c>
      <c r="N32">
        <v>0.31087904521459719</v>
      </c>
      <c r="O32">
        <v>2.750437915997253</v>
      </c>
      <c r="P32">
        <v>-80</v>
      </c>
      <c r="Q32">
        <v>-154795</v>
      </c>
      <c r="R32">
        <v>119836.5800000009</v>
      </c>
      <c r="S32">
        <f t="shared" si="0"/>
        <v>-1.2917174371965459</v>
      </c>
    </row>
    <row r="33" spans="1:19" x14ac:dyDescent="0.15">
      <c r="A33" t="s">
        <v>18</v>
      </c>
      <c r="B33">
        <v>3</v>
      </c>
      <c r="C33">
        <v>23</v>
      </c>
      <c r="D33">
        <v>25</v>
      </c>
      <c r="E33">
        <v>25</v>
      </c>
      <c r="F33">
        <v>2.6</v>
      </c>
      <c r="G33">
        <v>1</v>
      </c>
      <c r="H33">
        <v>1.2</v>
      </c>
      <c r="I33">
        <v>80</v>
      </c>
      <c r="K33">
        <v>7</v>
      </c>
      <c r="L33">
        <v>0.01</v>
      </c>
      <c r="M33">
        <v>61584</v>
      </c>
      <c r="N33">
        <v>0.29683034554429721</v>
      </c>
      <c r="O33">
        <v>1.931392244738898</v>
      </c>
      <c r="P33">
        <v>-80</v>
      </c>
      <c r="Q33">
        <v>-252376.47</v>
      </c>
      <c r="R33">
        <v>118942.8600000007</v>
      </c>
      <c r="S33">
        <f t="shared" si="0"/>
        <v>-2.1218295070422766</v>
      </c>
    </row>
    <row r="34" spans="1:19" x14ac:dyDescent="0.15">
      <c r="A34" t="s">
        <v>18</v>
      </c>
      <c r="B34">
        <v>3</v>
      </c>
      <c r="C34">
        <v>19</v>
      </c>
      <c r="D34">
        <v>15</v>
      </c>
      <c r="E34">
        <v>30</v>
      </c>
      <c r="F34">
        <v>3.4</v>
      </c>
      <c r="G34">
        <v>1</v>
      </c>
      <c r="H34">
        <v>1.2</v>
      </c>
      <c r="I34">
        <v>100</v>
      </c>
      <c r="K34">
        <v>7</v>
      </c>
      <c r="L34">
        <v>0.01</v>
      </c>
      <c r="M34">
        <v>53812</v>
      </c>
      <c r="N34">
        <v>0.32050472013677239</v>
      </c>
      <c r="O34">
        <v>2.1607961049580049</v>
      </c>
      <c r="P34">
        <v>-100</v>
      </c>
      <c r="Q34">
        <v>-222509.68000000011</v>
      </c>
      <c r="R34">
        <v>116276.7600000002</v>
      </c>
      <c r="S34">
        <f t="shared" si="0"/>
        <v>-1.9136212601727098</v>
      </c>
    </row>
    <row r="35" spans="1:19" x14ac:dyDescent="0.15">
      <c r="A35" t="s">
        <v>18</v>
      </c>
      <c r="B35">
        <v>3</v>
      </c>
      <c r="C35">
        <v>1</v>
      </c>
      <c r="D35">
        <v>30</v>
      </c>
      <c r="E35">
        <v>10</v>
      </c>
      <c r="F35">
        <v>3</v>
      </c>
      <c r="G35">
        <v>1</v>
      </c>
      <c r="H35">
        <v>1.8</v>
      </c>
      <c r="I35">
        <v>100</v>
      </c>
      <c r="K35">
        <v>10</v>
      </c>
      <c r="L35">
        <v>0.01</v>
      </c>
      <c r="M35">
        <v>60301</v>
      </c>
      <c r="N35">
        <v>0.33012719523722661</v>
      </c>
      <c r="O35">
        <v>1.865481998640161</v>
      </c>
      <c r="P35">
        <v>-42</v>
      </c>
      <c r="Q35">
        <v>-156959</v>
      </c>
      <c r="R35">
        <v>112490.4300000004</v>
      </c>
      <c r="S35">
        <f t="shared" si="0"/>
        <v>-1.3953098054652244</v>
      </c>
    </row>
    <row r="36" spans="1:19" x14ac:dyDescent="0.15">
      <c r="A36" t="s">
        <v>18</v>
      </c>
      <c r="B36">
        <v>3</v>
      </c>
      <c r="C36">
        <v>40</v>
      </c>
      <c r="D36">
        <v>30</v>
      </c>
      <c r="E36">
        <v>10</v>
      </c>
      <c r="F36">
        <v>2.6</v>
      </c>
      <c r="G36">
        <v>1</v>
      </c>
      <c r="H36">
        <v>1.3</v>
      </c>
      <c r="I36">
        <v>40</v>
      </c>
      <c r="K36">
        <v>10</v>
      </c>
      <c r="L36">
        <v>0.01</v>
      </c>
      <c r="M36">
        <v>94336</v>
      </c>
      <c r="N36">
        <v>0.24761490841248299</v>
      </c>
      <c r="O36">
        <v>1.059730961668933</v>
      </c>
      <c r="P36">
        <v>-40</v>
      </c>
      <c r="Q36">
        <v>-127954</v>
      </c>
      <c r="R36">
        <v>99970.780000000668</v>
      </c>
      <c r="S36">
        <f t="shared" si="0"/>
        <v>-1.2799139908681232</v>
      </c>
    </row>
    <row r="37" spans="1:19" x14ac:dyDescent="0.15">
      <c r="A37" t="s">
        <v>18</v>
      </c>
      <c r="B37">
        <v>3</v>
      </c>
      <c r="C37">
        <v>7</v>
      </c>
      <c r="D37">
        <v>25</v>
      </c>
      <c r="E37">
        <v>20</v>
      </c>
      <c r="F37">
        <v>2.6</v>
      </c>
      <c r="G37">
        <v>1</v>
      </c>
      <c r="H37">
        <v>1.2</v>
      </c>
      <c r="I37">
        <v>80</v>
      </c>
      <c r="K37">
        <v>7</v>
      </c>
      <c r="L37">
        <v>0.01</v>
      </c>
      <c r="M37">
        <v>63713</v>
      </c>
      <c r="N37">
        <v>0.30204196945678269</v>
      </c>
      <c r="O37">
        <v>1.480793715568256</v>
      </c>
      <c r="P37">
        <v>-66</v>
      </c>
      <c r="Q37">
        <v>-201649.00000000009</v>
      </c>
      <c r="R37">
        <v>94345.810000000405</v>
      </c>
      <c r="S37">
        <f t="shared" si="0"/>
        <v>-2.1373392204698782</v>
      </c>
    </row>
    <row r="38" spans="1:19" x14ac:dyDescent="0.15">
      <c r="A38" t="s">
        <v>18</v>
      </c>
      <c r="B38">
        <v>3</v>
      </c>
      <c r="C38">
        <v>3</v>
      </c>
      <c r="D38">
        <v>30</v>
      </c>
      <c r="E38">
        <v>25</v>
      </c>
      <c r="F38">
        <v>3.4</v>
      </c>
      <c r="G38">
        <v>1</v>
      </c>
      <c r="H38">
        <v>1.7</v>
      </c>
      <c r="I38">
        <v>100</v>
      </c>
      <c r="K38">
        <v>10</v>
      </c>
      <c r="L38">
        <v>0.01</v>
      </c>
      <c r="M38">
        <v>58023</v>
      </c>
      <c r="N38">
        <v>0.33698705685676372</v>
      </c>
      <c r="O38">
        <v>1.5266063457594381</v>
      </c>
      <c r="P38">
        <v>-86</v>
      </c>
      <c r="Q38">
        <v>-240654.47000000041</v>
      </c>
      <c r="R38">
        <v>88578.279999999679</v>
      </c>
      <c r="S38">
        <f t="shared" si="0"/>
        <v>-2.7168564347828981</v>
      </c>
    </row>
    <row r="39" spans="1:19" x14ac:dyDescent="0.15">
      <c r="A39" t="s">
        <v>18</v>
      </c>
      <c r="B39">
        <v>3</v>
      </c>
      <c r="C39">
        <v>43</v>
      </c>
      <c r="D39">
        <v>20</v>
      </c>
      <c r="E39">
        <v>25</v>
      </c>
      <c r="F39">
        <v>3.2</v>
      </c>
      <c r="G39">
        <v>1</v>
      </c>
      <c r="H39">
        <v>1.2</v>
      </c>
      <c r="I39">
        <v>60</v>
      </c>
      <c r="K39">
        <v>5</v>
      </c>
      <c r="L39">
        <v>0.01</v>
      </c>
      <c r="M39">
        <v>54753</v>
      </c>
      <c r="N39">
        <v>0.2484612715285007</v>
      </c>
      <c r="O39">
        <v>1.3947323434332379</v>
      </c>
      <c r="P39">
        <v>-60</v>
      </c>
      <c r="Q39">
        <v>-222369.4800000001</v>
      </c>
      <c r="R39">
        <v>76365.77999999997</v>
      </c>
      <c r="S39">
        <f t="shared" si="0"/>
        <v>-2.9118995445342164</v>
      </c>
    </row>
    <row r="40" spans="1:19" x14ac:dyDescent="0.15">
      <c r="A40" t="s">
        <v>18</v>
      </c>
      <c r="B40">
        <v>3</v>
      </c>
      <c r="C40">
        <v>11</v>
      </c>
      <c r="D40">
        <v>30</v>
      </c>
      <c r="E40">
        <v>15</v>
      </c>
      <c r="F40">
        <v>2</v>
      </c>
      <c r="G40">
        <v>1</v>
      </c>
      <c r="H40">
        <v>1.6</v>
      </c>
      <c r="I40">
        <v>80</v>
      </c>
      <c r="K40">
        <v>10</v>
      </c>
      <c r="L40">
        <v>0.01</v>
      </c>
      <c r="M40">
        <v>71473</v>
      </c>
      <c r="N40">
        <v>0.32075049319323379</v>
      </c>
      <c r="O40">
        <v>1.038523778209961</v>
      </c>
      <c r="P40">
        <v>-37</v>
      </c>
      <c r="Q40">
        <v>-151903</v>
      </c>
      <c r="R40">
        <v>74226.41000000076</v>
      </c>
      <c r="S40">
        <f t="shared" si="0"/>
        <v>-2.0464818384722965</v>
      </c>
    </row>
    <row r="41" spans="1:19" x14ac:dyDescent="0.15">
      <c r="A41" t="s">
        <v>18</v>
      </c>
      <c r="B41">
        <v>3</v>
      </c>
      <c r="C41">
        <v>17</v>
      </c>
      <c r="D41">
        <v>5</v>
      </c>
      <c r="E41">
        <v>30</v>
      </c>
      <c r="F41">
        <v>3.8</v>
      </c>
      <c r="G41">
        <v>1</v>
      </c>
      <c r="H41">
        <v>1.4</v>
      </c>
      <c r="I41">
        <v>80</v>
      </c>
      <c r="K41">
        <v>10</v>
      </c>
      <c r="L41">
        <v>0.01</v>
      </c>
      <c r="M41">
        <v>68978</v>
      </c>
      <c r="N41">
        <v>0.3067064861260112</v>
      </c>
      <c r="O41">
        <v>1.0392106178781559</v>
      </c>
      <c r="P41">
        <v>-80</v>
      </c>
      <c r="Q41">
        <v>-270285.84000000131</v>
      </c>
      <c r="R41">
        <v>71682.669999998732</v>
      </c>
      <c r="S41">
        <f t="shared" si="0"/>
        <v>-3.7705883444353576</v>
      </c>
    </row>
    <row r="42" spans="1:19" x14ac:dyDescent="0.15">
      <c r="A42" t="s">
        <v>18</v>
      </c>
      <c r="B42">
        <v>3</v>
      </c>
      <c r="C42">
        <v>20</v>
      </c>
      <c r="D42">
        <v>30</v>
      </c>
      <c r="E42">
        <v>10</v>
      </c>
      <c r="F42">
        <v>3</v>
      </c>
      <c r="G42">
        <v>1</v>
      </c>
      <c r="H42">
        <v>1.2</v>
      </c>
      <c r="I42">
        <v>80</v>
      </c>
      <c r="K42">
        <v>4</v>
      </c>
      <c r="L42">
        <v>0.01</v>
      </c>
      <c r="M42">
        <v>49260</v>
      </c>
      <c r="N42">
        <v>0.30178643930166471</v>
      </c>
      <c r="O42">
        <v>1.2309409257003689</v>
      </c>
      <c r="P42">
        <v>-47</v>
      </c>
      <c r="Q42">
        <v>-73391</v>
      </c>
      <c r="R42">
        <v>60636.150000000227</v>
      </c>
      <c r="S42">
        <f t="shared" si="0"/>
        <v>-1.2103505911902344</v>
      </c>
    </row>
    <row r="43" spans="1:19" x14ac:dyDescent="0.15">
      <c r="A43" t="s">
        <v>18</v>
      </c>
      <c r="B43">
        <v>3</v>
      </c>
      <c r="C43">
        <v>42</v>
      </c>
      <c r="D43">
        <v>25</v>
      </c>
      <c r="E43">
        <v>25</v>
      </c>
      <c r="F43">
        <v>3.4</v>
      </c>
      <c r="G43">
        <v>1</v>
      </c>
      <c r="H43">
        <v>2.7</v>
      </c>
      <c r="I43">
        <v>100</v>
      </c>
      <c r="K43">
        <v>7</v>
      </c>
      <c r="L43">
        <v>0.01</v>
      </c>
      <c r="M43">
        <v>34453</v>
      </c>
      <c r="N43">
        <v>0.34502075290976109</v>
      </c>
      <c r="O43">
        <v>1.73739442138566</v>
      </c>
      <c r="P43">
        <v>-82</v>
      </c>
      <c r="Q43">
        <v>-140184.03000000009</v>
      </c>
      <c r="R43">
        <v>59858.450000000099</v>
      </c>
      <c r="S43">
        <f t="shared" si="0"/>
        <v>-2.341925492557857</v>
      </c>
    </row>
    <row r="44" spans="1:19" x14ac:dyDescent="0.15">
      <c r="A44" t="s">
        <v>18</v>
      </c>
      <c r="B44">
        <v>3</v>
      </c>
      <c r="C44">
        <v>0</v>
      </c>
      <c r="D44">
        <v>30</v>
      </c>
      <c r="E44">
        <v>25</v>
      </c>
      <c r="F44">
        <v>3.8</v>
      </c>
      <c r="G44">
        <v>1</v>
      </c>
      <c r="H44">
        <v>1.3</v>
      </c>
      <c r="I44">
        <v>100</v>
      </c>
      <c r="K44">
        <v>10</v>
      </c>
      <c r="L44">
        <v>0.01</v>
      </c>
      <c r="M44">
        <v>65528</v>
      </c>
      <c r="N44">
        <v>0.32795141008423878</v>
      </c>
      <c r="O44">
        <v>0.83598385423025146</v>
      </c>
      <c r="P44">
        <v>-100</v>
      </c>
      <c r="Q44">
        <v>-297623.4700000002</v>
      </c>
      <c r="R44">
        <v>54780.349999999889</v>
      </c>
      <c r="S44">
        <f t="shared" si="0"/>
        <v>-5.4330333778444428</v>
      </c>
    </row>
    <row r="45" spans="1:19" x14ac:dyDescent="0.15">
      <c r="A45" t="s">
        <v>18</v>
      </c>
      <c r="B45">
        <v>3</v>
      </c>
      <c r="C45">
        <v>8</v>
      </c>
      <c r="D45">
        <v>20</v>
      </c>
      <c r="E45">
        <v>25</v>
      </c>
      <c r="F45">
        <v>3.2</v>
      </c>
      <c r="G45">
        <v>1</v>
      </c>
      <c r="H45">
        <v>1</v>
      </c>
      <c r="I45">
        <v>80</v>
      </c>
      <c r="K45">
        <v>7</v>
      </c>
      <c r="L45">
        <v>0.01</v>
      </c>
      <c r="M45">
        <v>63027</v>
      </c>
      <c r="N45">
        <v>0.28743237025401808</v>
      </c>
      <c r="O45">
        <v>0.70299379630951997</v>
      </c>
      <c r="P45">
        <v>-80</v>
      </c>
      <c r="Q45">
        <v>-296895.97999999992</v>
      </c>
      <c r="R45">
        <v>44307.590000000113</v>
      </c>
      <c r="S45">
        <f t="shared" si="0"/>
        <v>-6.7007927987055753</v>
      </c>
    </row>
    <row r="46" spans="1:19" x14ac:dyDescent="0.15">
      <c r="A46" t="s">
        <v>18</v>
      </c>
      <c r="B46">
        <v>3</v>
      </c>
      <c r="C46">
        <v>49</v>
      </c>
      <c r="D46">
        <v>25</v>
      </c>
      <c r="E46">
        <v>10</v>
      </c>
      <c r="F46">
        <v>2.8</v>
      </c>
      <c r="G46">
        <v>1</v>
      </c>
      <c r="H46">
        <v>1.6</v>
      </c>
      <c r="I46">
        <v>80</v>
      </c>
      <c r="K46">
        <v>7</v>
      </c>
      <c r="L46">
        <v>0.01</v>
      </c>
      <c r="M46">
        <v>59325</v>
      </c>
      <c r="N46">
        <v>0.31479140328697852</v>
      </c>
      <c r="O46">
        <v>0.57426599241467069</v>
      </c>
      <c r="P46">
        <v>-43</v>
      </c>
      <c r="Q46">
        <v>-150383</v>
      </c>
      <c r="R46">
        <v>34068.330000000336</v>
      </c>
      <c r="S46">
        <f t="shared" si="0"/>
        <v>-4.4141582519600613</v>
      </c>
    </row>
    <row r="47" spans="1:19" x14ac:dyDescent="0.15">
      <c r="A47" t="s">
        <v>18</v>
      </c>
      <c r="B47">
        <v>3</v>
      </c>
      <c r="C47">
        <v>46</v>
      </c>
      <c r="D47">
        <v>20</v>
      </c>
      <c r="E47">
        <v>30</v>
      </c>
      <c r="F47">
        <v>2</v>
      </c>
      <c r="G47">
        <v>1</v>
      </c>
      <c r="H47">
        <v>1.3</v>
      </c>
      <c r="I47">
        <v>60</v>
      </c>
      <c r="K47">
        <v>4</v>
      </c>
      <c r="L47">
        <v>0.01</v>
      </c>
      <c r="M47">
        <v>49762</v>
      </c>
      <c r="N47">
        <v>0.2650616936618303</v>
      </c>
      <c r="O47">
        <v>0.50962300550621509</v>
      </c>
      <c r="P47">
        <v>-60</v>
      </c>
      <c r="Q47">
        <v>-115767</v>
      </c>
      <c r="R47">
        <v>25359.860000000281</v>
      </c>
      <c r="S47">
        <f t="shared" si="0"/>
        <v>-4.5649699958910936</v>
      </c>
    </row>
    <row r="48" spans="1:19" x14ac:dyDescent="0.15">
      <c r="A48" t="s">
        <v>18</v>
      </c>
      <c r="B48">
        <v>3</v>
      </c>
      <c r="C48">
        <v>41</v>
      </c>
      <c r="D48">
        <v>20</v>
      </c>
      <c r="E48">
        <v>30</v>
      </c>
      <c r="F48">
        <v>2</v>
      </c>
      <c r="G48">
        <v>1</v>
      </c>
      <c r="H48">
        <v>1.4</v>
      </c>
      <c r="I48">
        <v>80</v>
      </c>
      <c r="K48">
        <v>4</v>
      </c>
      <c r="L48">
        <v>0.01</v>
      </c>
      <c r="M48">
        <v>43230</v>
      </c>
      <c r="N48">
        <v>0.30057830210501968</v>
      </c>
      <c r="O48">
        <v>0.25944598658339801</v>
      </c>
      <c r="P48">
        <v>-66.5</v>
      </c>
      <c r="Q48">
        <v>-135011</v>
      </c>
      <c r="R48">
        <v>11215.8500000003</v>
      </c>
      <c r="S48">
        <f t="shared" si="0"/>
        <v>-12.037518333429601</v>
      </c>
    </row>
    <row r="49" spans="1:19" x14ac:dyDescent="0.15">
      <c r="A49" t="s">
        <v>18</v>
      </c>
      <c r="B49">
        <v>3</v>
      </c>
      <c r="C49">
        <v>25</v>
      </c>
      <c r="D49">
        <v>15</v>
      </c>
      <c r="E49">
        <v>15</v>
      </c>
      <c r="F49">
        <v>2.4</v>
      </c>
      <c r="G49">
        <v>1</v>
      </c>
      <c r="H49">
        <v>1.4</v>
      </c>
      <c r="I49">
        <v>100</v>
      </c>
      <c r="K49">
        <v>7</v>
      </c>
      <c r="L49">
        <v>0.01</v>
      </c>
      <c r="M49">
        <v>60254</v>
      </c>
      <c r="N49">
        <v>0.32525641451189963</v>
      </c>
      <c r="O49">
        <v>-0.44517641982274558</v>
      </c>
      <c r="P49">
        <v>-42</v>
      </c>
      <c r="Q49">
        <v>-163241.7399999995</v>
      </c>
      <c r="R49">
        <v>-26823.65999999925</v>
      </c>
      <c r="S49">
        <f t="shared" si="0"/>
        <v>6.0857369948770623</v>
      </c>
    </row>
    <row r="50" spans="1:19" x14ac:dyDescent="0.15">
      <c r="A50" t="s">
        <v>18</v>
      </c>
      <c r="B50">
        <v>3</v>
      </c>
      <c r="C50">
        <v>27</v>
      </c>
      <c r="D50">
        <v>30</v>
      </c>
      <c r="E50">
        <v>10</v>
      </c>
      <c r="F50">
        <v>2.4</v>
      </c>
      <c r="G50">
        <v>1</v>
      </c>
      <c r="H50">
        <v>1.1000000000000001</v>
      </c>
      <c r="I50">
        <v>60</v>
      </c>
      <c r="K50">
        <v>7</v>
      </c>
      <c r="L50">
        <v>0.01</v>
      </c>
      <c r="M50">
        <v>83830</v>
      </c>
      <c r="N50">
        <v>0.29232971489920079</v>
      </c>
      <c r="O50">
        <v>-0.42521949182869151</v>
      </c>
      <c r="P50">
        <v>-40</v>
      </c>
      <c r="Q50">
        <v>-179684</v>
      </c>
      <c r="R50">
        <v>-35646.149999999718</v>
      </c>
      <c r="S50">
        <f t="shared" si="0"/>
        <v>5.0407687786759983</v>
      </c>
    </row>
    <row r="51" spans="1:19" x14ac:dyDescent="0.15">
      <c r="A51" t="s">
        <v>18</v>
      </c>
      <c r="B51">
        <v>3</v>
      </c>
      <c r="C51">
        <v>30</v>
      </c>
      <c r="D51">
        <v>15</v>
      </c>
      <c r="E51">
        <v>30</v>
      </c>
      <c r="F51">
        <v>3.6</v>
      </c>
      <c r="G51">
        <v>1</v>
      </c>
      <c r="H51">
        <v>1.3</v>
      </c>
      <c r="I51">
        <v>80</v>
      </c>
      <c r="K51">
        <v>10</v>
      </c>
      <c r="L51">
        <v>0.01</v>
      </c>
      <c r="M51">
        <v>71949</v>
      </c>
      <c r="N51">
        <v>0.29452806849296032</v>
      </c>
      <c r="O51">
        <v>-0.50922292179182094</v>
      </c>
      <c r="P51">
        <v>-80</v>
      </c>
      <c r="Q51">
        <v>-277762</v>
      </c>
      <c r="R51">
        <v>-36638.079999999427</v>
      </c>
      <c r="S51">
        <f t="shared" si="0"/>
        <v>7.5812378814611554</v>
      </c>
    </row>
  </sheetData>
  <phoneticPr fontId="2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CF7B-77AA-44C8-B9AF-52606A4BF99A}">
  <dimension ref="A1:S52"/>
  <sheetViews>
    <sheetView workbookViewId="0">
      <selection activeCell="A2" sqref="A2:S2"/>
    </sheetView>
  </sheetViews>
  <sheetFormatPr defaultRowHeight="13.5" x14ac:dyDescent="0.15"/>
  <sheetData>
    <row r="1" spans="1:1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9" x14ac:dyDescent="0.15">
      <c r="A2" s="2" t="s">
        <v>19</v>
      </c>
      <c r="B2" s="2">
        <v>3</v>
      </c>
      <c r="C2" s="2">
        <v>47</v>
      </c>
      <c r="D2" s="2">
        <v>30</v>
      </c>
      <c r="E2" s="2">
        <v>30</v>
      </c>
      <c r="F2" s="2">
        <v>2</v>
      </c>
      <c r="G2" s="2">
        <v>1</v>
      </c>
      <c r="H2" s="2">
        <v>1.8</v>
      </c>
      <c r="I2" s="2">
        <v>9</v>
      </c>
      <c r="J2" s="2"/>
      <c r="K2" s="2">
        <v>7</v>
      </c>
      <c r="L2" s="2">
        <v>0.01</v>
      </c>
      <c r="M2" s="2">
        <v>37156</v>
      </c>
      <c r="N2" s="2">
        <v>0.37162234901496388</v>
      </c>
      <c r="O2" s="2">
        <v>0.31565346108300302</v>
      </c>
      <c r="P2" s="2">
        <v>-1.9600000000000359</v>
      </c>
      <c r="Q2" s="2">
        <v>-5965.7100000000064</v>
      </c>
      <c r="R2" s="2">
        <v>11728.42000000006</v>
      </c>
      <c r="S2" s="2">
        <f t="shared" ref="S2:S33" si="0">Q2/R2</f>
        <v>-0.50865419212476837</v>
      </c>
    </row>
    <row r="3" spans="1:19" x14ac:dyDescent="0.15">
      <c r="A3" t="s">
        <v>19</v>
      </c>
      <c r="B3">
        <v>3</v>
      </c>
      <c r="C3">
        <v>1</v>
      </c>
      <c r="D3">
        <v>5</v>
      </c>
      <c r="E3">
        <v>30</v>
      </c>
      <c r="F3">
        <v>3.6</v>
      </c>
      <c r="G3">
        <v>1</v>
      </c>
      <c r="H3">
        <v>1.6</v>
      </c>
      <c r="I3">
        <v>10</v>
      </c>
      <c r="K3">
        <v>7</v>
      </c>
      <c r="L3">
        <v>0.01</v>
      </c>
      <c r="M3">
        <v>32542</v>
      </c>
      <c r="N3">
        <v>0.38965029807633211</v>
      </c>
      <c r="O3">
        <v>0.35786860057771458</v>
      </c>
      <c r="P3">
        <v>-2.6099999999999</v>
      </c>
      <c r="Q3">
        <v>-6461.5400000000282</v>
      </c>
      <c r="R3">
        <v>11645.759999999949</v>
      </c>
      <c r="S3">
        <f t="shared" si="0"/>
        <v>-0.55484055999780657</v>
      </c>
    </row>
    <row r="4" spans="1:19" x14ac:dyDescent="0.15">
      <c r="A4" t="s">
        <v>19</v>
      </c>
      <c r="B4">
        <v>3</v>
      </c>
      <c r="C4">
        <v>5</v>
      </c>
      <c r="D4">
        <v>30</v>
      </c>
      <c r="E4">
        <v>30</v>
      </c>
      <c r="F4">
        <v>2.2000000000000002</v>
      </c>
      <c r="G4">
        <v>1</v>
      </c>
      <c r="H4">
        <v>1.1000000000000001</v>
      </c>
      <c r="I4">
        <v>10</v>
      </c>
      <c r="K4">
        <v>10</v>
      </c>
      <c r="L4">
        <v>0.01</v>
      </c>
      <c r="M4">
        <v>54306</v>
      </c>
      <c r="N4">
        <v>0.37378926822082281</v>
      </c>
      <c r="O4">
        <v>0.21027676499834499</v>
      </c>
      <c r="P4">
        <v>-2.0700000000001642</v>
      </c>
      <c r="Q4">
        <v>-10585.79</v>
      </c>
      <c r="R4">
        <v>11419.290000000179</v>
      </c>
      <c r="S4">
        <f t="shared" si="0"/>
        <v>-0.92700947256789479</v>
      </c>
    </row>
    <row r="5" spans="1:19" x14ac:dyDescent="0.15">
      <c r="A5" t="s">
        <v>19</v>
      </c>
      <c r="B5">
        <v>3</v>
      </c>
      <c r="C5">
        <v>9</v>
      </c>
      <c r="D5">
        <v>15</v>
      </c>
      <c r="E5">
        <v>30</v>
      </c>
      <c r="F5">
        <v>3.4</v>
      </c>
      <c r="G5">
        <v>1</v>
      </c>
      <c r="H5">
        <v>2.8</v>
      </c>
      <c r="I5">
        <v>9</v>
      </c>
      <c r="K5">
        <v>7</v>
      </c>
      <c r="L5">
        <v>0.01</v>
      </c>
      <c r="M5">
        <v>25065</v>
      </c>
      <c r="N5">
        <v>0.40889686814282872</v>
      </c>
      <c r="O5">
        <v>0.40443885896668791</v>
      </c>
      <c r="P5">
        <v>-2.2200000000000268</v>
      </c>
      <c r="Q5">
        <v>-3329.1400000000181</v>
      </c>
      <c r="R5">
        <v>10137.260000000029</v>
      </c>
      <c r="S5">
        <f t="shared" si="0"/>
        <v>-0.32840629519219283</v>
      </c>
    </row>
    <row r="6" spans="1:19" x14ac:dyDescent="0.15">
      <c r="A6" t="s">
        <v>19</v>
      </c>
      <c r="B6">
        <v>3</v>
      </c>
      <c r="C6">
        <v>22</v>
      </c>
      <c r="D6">
        <v>10</v>
      </c>
      <c r="E6">
        <v>25</v>
      </c>
      <c r="F6">
        <v>3.6</v>
      </c>
      <c r="G6">
        <v>1</v>
      </c>
      <c r="H6">
        <v>1.8</v>
      </c>
      <c r="I6">
        <v>10</v>
      </c>
      <c r="K6">
        <v>10</v>
      </c>
      <c r="L6">
        <v>0.01</v>
      </c>
      <c r="M6">
        <v>40747</v>
      </c>
      <c r="N6">
        <v>0.39436032100522739</v>
      </c>
      <c r="O6">
        <v>0.24546788720642071</v>
      </c>
      <c r="P6">
        <v>-2.399999999999864</v>
      </c>
      <c r="Q6">
        <v>-8471.0599999999886</v>
      </c>
      <c r="R6">
        <v>10002.080000000071</v>
      </c>
      <c r="S6">
        <f t="shared" si="0"/>
        <v>-0.84692983859356541</v>
      </c>
    </row>
    <row r="7" spans="1:19" x14ac:dyDescent="0.15">
      <c r="A7" t="s">
        <v>19</v>
      </c>
      <c r="B7">
        <v>3</v>
      </c>
      <c r="C7">
        <v>14</v>
      </c>
      <c r="D7">
        <v>5</v>
      </c>
      <c r="E7">
        <v>30</v>
      </c>
      <c r="F7">
        <v>3.6</v>
      </c>
      <c r="G7">
        <v>1</v>
      </c>
      <c r="H7">
        <v>3</v>
      </c>
      <c r="I7">
        <v>7</v>
      </c>
      <c r="K7">
        <v>10</v>
      </c>
      <c r="L7">
        <v>0.01</v>
      </c>
      <c r="M7">
        <v>26118</v>
      </c>
      <c r="N7">
        <v>0.38869745003445899</v>
      </c>
      <c r="O7">
        <v>0.32233976567884232</v>
      </c>
      <c r="P7">
        <v>-2.6650000000000769</v>
      </c>
      <c r="Q7">
        <v>-6278.2299999999641</v>
      </c>
      <c r="R7">
        <v>8418.8700000000335</v>
      </c>
      <c r="S7">
        <f t="shared" si="0"/>
        <v>-0.74573309719712255</v>
      </c>
    </row>
    <row r="8" spans="1:19" x14ac:dyDescent="0.15">
      <c r="A8" t="s">
        <v>19</v>
      </c>
      <c r="B8">
        <v>3</v>
      </c>
      <c r="C8">
        <v>7</v>
      </c>
      <c r="D8">
        <v>15</v>
      </c>
      <c r="E8">
        <v>30</v>
      </c>
      <c r="F8">
        <v>3.4</v>
      </c>
      <c r="G8">
        <v>1</v>
      </c>
      <c r="H8">
        <v>1.3</v>
      </c>
      <c r="I8">
        <v>7</v>
      </c>
      <c r="K8">
        <v>7</v>
      </c>
      <c r="L8">
        <v>0.01</v>
      </c>
      <c r="M8">
        <v>37608</v>
      </c>
      <c r="N8">
        <v>0.3593916188045097</v>
      </c>
      <c r="O8">
        <v>0.22278850244628989</v>
      </c>
      <c r="P8">
        <v>-3.309999999999945</v>
      </c>
      <c r="Q8">
        <v>-6245.2999999999893</v>
      </c>
      <c r="R8">
        <v>8378.6299999999937</v>
      </c>
      <c r="S8">
        <f t="shared" si="0"/>
        <v>-0.74538438861723144</v>
      </c>
    </row>
    <row r="9" spans="1:19" x14ac:dyDescent="0.15">
      <c r="A9" t="s">
        <v>19</v>
      </c>
      <c r="B9">
        <v>3</v>
      </c>
      <c r="C9">
        <v>8</v>
      </c>
      <c r="D9">
        <v>10</v>
      </c>
      <c r="E9">
        <v>30</v>
      </c>
      <c r="F9">
        <v>3.2</v>
      </c>
      <c r="G9">
        <v>1</v>
      </c>
      <c r="H9">
        <v>1.3</v>
      </c>
      <c r="I9">
        <v>8</v>
      </c>
      <c r="K9">
        <v>10</v>
      </c>
      <c r="L9">
        <v>0.01</v>
      </c>
      <c r="M9">
        <v>47834</v>
      </c>
      <c r="N9">
        <v>0.36877534807877238</v>
      </c>
      <c r="O9">
        <v>0.17234832964000649</v>
      </c>
      <c r="P9">
        <v>-2.8900000000001</v>
      </c>
      <c r="Q9">
        <v>-8087.8599999999205</v>
      </c>
      <c r="R9">
        <v>8244.1100000000752</v>
      </c>
      <c r="S9">
        <f t="shared" si="0"/>
        <v>-0.98104707482067155</v>
      </c>
    </row>
    <row r="10" spans="1:19" x14ac:dyDescent="0.15">
      <c r="A10" t="s">
        <v>19</v>
      </c>
      <c r="B10">
        <v>3</v>
      </c>
      <c r="C10">
        <v>13</v>
      </c>
      <c r="D10">
        <v>30</v>
      </c>
      <c r="E10">
        <v>30</v>
      </c>
      <c r="F10">
        <v>2.2000000000000002</v>
      </c>
      <c r="G10">
        <v>1</v>
      </c>
      <c r="H10">
        <v>2.1</v>
      </c>
      <c r="I10">
        <v>6</v>
      </c>
      <c r="K10">
        <v>10</v>
      </c>
      <c r="L10">
        <v>0.01</v>
      </c>
      <c r="M10">
        <v>40431</v>
      </c>
      <c r="N10">
        <v>0.35955083970220869</v>
      </c>
      <c r="O10">
        <v>0.19540501100640781</v>
      </c>
      <c r="P10">
        <v>-2.340000000000146</v>
      </c>
      <c r="Q10">
        <v>-7460.2299999999786</v>
      </c>
      <c r="R10">
        <v>7900.4200000001028</v>
      </c>
      <c r="S10">
        <f t="shared" si="0"/>
        <v>-0.94428270902051814</v>
      </c>
    </row>
    <row r="11" spans="1:19" x14ac:dyDescent="0.15">
      <c r="A11" t="s">
        <v>19</v>
      </c>
      <c r="B11">
        <v>3</v>
      </c>
      <c r="C11">
        <v>18</v>
      </c>
      <c r="D11">
        <v>20</v>
      </c>
      <c r="E11">
        <v>15</v>
      </c>
      <c r="F11">
        <v>3.8</v>
      </c>
      <c r="G11">
        <v>1</v>
      </c>
      <c r="H11">
        <v>2.1</v>
      </c>
      <c r="I11">
        <v>9</v>
      </c>
      <c r="K11">
        <v>10</v>
      </c>
      <c r="L11">
        <v>0.01</v>
      </c>
      <c r="M11">
        <v>39142</v>
      </c>
      <c r="N11">
        <v>0.37609217720096061</v>
      </c>
      <c r="O11">
        <v>0.19418936181084251</v>
      </c>
      <c r="P11">
        <v>-2.2899999999999641</v>
      </c>
      <c r="Q11">
        <v>-6803.7800000000198</v>
      </c>
      <c r="R11">
        <v>7600.9599999999509</v>
      </c>
      <c r="S11">
        <f t="shared" si="0"/>
        <v>-0.89512114259252296</v>
      </c>
    </row>
    <row r="12" spans="1:19" x14ac:dyDescent="0.15">
      <c r="A12" t="s">
        <v>19</v>
      </c>
      <c r="B12">
        <v>3</v>
      </c>
      <c r="C12">
        <v>19</v>
      </c>
      <c r="D12">
        <v>15</v>
      </c>
      <c r="E12">
        <v>20</v>
      </c>
      <c r="F12">
        <v>3.2</v>
      </c>
      <c r="G12">
        <v>1</v>
      </c>
      <c r="H12">
        <v>2.6</v>
      </c>
      <c r="I12">
        <v>10</v>
      </c>
      <c r="K12">
        <v>10</v>
      </c>
      <c r="L12">
        <v>0.01</v>
      </c>
      <c r="M12">
        <v>31328</v>
      </c>
      <c r="N12">
        <v>0.38942798774259452</v>
      </c>
      <c r="O12">
        <v>0.23091643258426889</v>
      </c>
      <c r="P12">
        <v>-2.0900000000000318</v>
      </c>
      <c r="Q12">
        <v>-4387.2799999999916</v>
      </c>
      <c r="R12">
        <v>7234.1499999999769</v>
      </c>
      <c r="S12">
        <f t="shared" si="0"/>
        <v>-0.60646793334393201</v>
      </c>
    </row>
    <row r="13" spans="1:19" x14ac:dyDescent="0.15">
      <c r="A13" t="s">
        <v>19</v>
      </c>
      <c r="B13">
        <v>3</v>
      </c>
      <c r="C13">
        <v>24</v>
      </c>
      <c r="D13">
        <v>20</v>
      </c>
      <c r="E13">
        <v>20</v>
      </c>
      <c r="F13">
        <v>2</v>
      </c>
      <c r="G13">
        <v>1</v>
      </c>
      <c r="H13">
        <v>2.2999999999999998</v>
      </c>
      <c r="I13">
        <v>9</v>
      </c>
      <c r="K13">
        <v>10</v>
      </c>
      <c r="L13">
        <v>0.01</v>
      </c>
      <c r="M13">
        <v>37601</v>
      </c>
      <c r="N13">
        <v>0.36129358261748362</v>
      </c>
      <c r="O13">
        <v>0.18724395627775881</v>
      </c>
      <c r="P13">
        <v>-1.620000000000118</v>
      </c>
      <c r="Q13">
        <v>-9784.4199999999691</v>
      </c>
      <c r="R13">
        <v>7040.5600000000504</v>
      </c>
      <c r="S13">
        <f t="shared" si="0"/>
        <v>-1.3897218403081431</v>
      </c>
    </row>
    <row r="14" spans="1:19" x14ac:dyDescent="0.15">
      <c r="A14" t="s">
        <v>19</v>
      </c>
      <c r="B14">
        <v>3</v>
      </c>
      <c r="C14">
        <v>40</v>
      </c>
      <c r="D14">
        <v>10</v>
      </c>
      <c r="E14">
        <v>25</v>
      </c>
      <c r="F14">
        <v>3.6</v>
      </c>
      <c r="G14">
        <v>1</v>
      </c>
      <c r="H14">
        <v>1.6</v>
      </c>
      <c r="I14">
        <v>5</v>
      </c>
      <c r="K14">
        <v>10</v>
      </c>
      <c r="L14">
        <v>0.01</v>
      </c>
      <c r="M14">
        <v>48945</v>
      </c>
      <c r="N14">
        <v>0.32749003984063751</v>
      </c>
      <c r="O14">
        <v>0.13892082950250331</v>
      </c>
      <c r="P14">
        <v>-4.2599999999999909</v>
      </c>
      <c r="Q14">
        <v>-8287.2699999999713</v>
      </c>
      <c r="R14">
        <v>6799.4800000000587</v>
      </c>
      <c r="S14">
        <f t="shared" si="0"/>
        <v>-1.2188093795407737</v>
      </c>
    </row>
    <row r="15" spans="1:19" x14ac:dyDescent="0.15">
      <c r="A15" t="s">
        <v>19</v>
      </c>
      <c r="B15">
        <v>3</v>
      </c>
      <c r="C15">
        <v>44</v>
      </c>
      <c r="D15">
        <v>15</v>
      </c>
      <c r="E15">
        <v>15</v>
      </c>
      <c r="F15">
        <v>4</v>
      </c>
      <c r="G15">
        <v>1</v>
      </c>
      <c r="H15">
        <v>1.9</v>
      </c>
      <c r="I15">
        <v>6</v>
      </c>
      <c r="K15">
        <v>10</v>
      </c>
      <c r="L15">
        <v>0.01</v>
      </c>
      <c r="M15">
        <v>43204</v>
      </c>
      <c r="N15">
        <v>0.35001388760299967</v>
      </c>
      <c r="O15">
        <v>0.14612582168317689</v>
      </c>
      <c r="P15">
        <v>-2.9100000000000819</v>
      </c>
      <c r="Q15">
        <v>-7176.0199999999968</v>
      </c>
      <c r="R15">
        <v>6313.2199999999566</v>
      </c>
      <c r="S15">
        <f t="shared" si="0"/>
        <v>-1.1366656001216568</v>
      </c>
    </row>
    <row r="16" spans="1:19" x14ac:dyDescent="0.15">
      <c r="A16" t="s">
        <v>19</v>
      </c>
      <c r="B16">
        <v>3</v>
      </c>
      <c r="C16">
        <v>49</v>
      </c>
      <c r="D16">
        <v>25</v>
      </c>
      <c r="E16">
        <v>20</v>
      </c>
      <c r="F16">
        <v>4</v>
      </c>
      <c r="G16">
        <v>1</v>
      </c>
      <c r="H16">
        <v>1.2</v>
      </c>
      <c r="I16">
        <v>7</v>
      </c>
      <c r="K16">
        <v>7</v>
      </c>
      <c r="L16">
        <v>0.01</v>
      </c>
      <c r="M16">
        <v>38770</v>
      </c>
      <c r="N16">
        <v>0.35579055971111678</v>
      </c>
      <c r="O16">
        <v>0.15881067835955681</v>
      </c>
      <c r="P16">
        <v>-3.2400000000000091</v>
      </c>
      <c r="Q16">
        <v>-6895.5199999999768</v>
      </c>
      <c r="R16">
        <v>6157.090000000002</v>
      </c>
      <c r="S16">
        <f t="shared" si="0"/>
        <v>-1.1199316560258132</v>
      </c>
    </row>
    <row r="17" spans="1:19" x14ac:dyDescent="0.15">
      <c r="A17" t="s">
        <v>19</v>
      </c>
      <c r="B17">
        <v>3</v>
      </c>
      <c r="C17">
        <v>45</v>
      </c>
      <c r="D17">
        <v>15</v>
      </c>
      <c r="E17">
        <v>15</v>
      </c>
      <c r="F17">
        <v>4</v>
      </c>
      <c r="G17">
        <v>1</v>
      </c>
      <c r="H17">
        <v>3</v>
      </c>
      <c r="I17">
        <v>8</v>
      </c>
      <c r="K17">
        <v>7</v>
      </c>
      <c r="L17">
        <v>0.01</v>
      </c>
      <c r="M17">
        <v>23665</v>
      </c>
      <c r="N17">
        <v>0.38178744982040991</v>
      </c>
      <c r="O17">
        <v>0.2562057891400803</v>
      </c>
      <c r="P17">
        <v>-2.4000000000000909</v>
      </c>
      <c r="Q17">
        <v>-4940.2299999999941</v>
      </c>
      <c r="R17">
        <v>6063.1099999999842</v>
      </c>
      <c r="S17">
        <f t="shared" si="0"/>
        <v>-0.81480131483677631</v>
      </c>
    </row>
    <row r="18" spans="1:19" x14ac:dyDescent="0.15">
      <c r="A18" t="s">
        <v>19</v>
      </c>
      <c r="B18">
        <v>3</v>
      </c>
      <c r="C18">
        <v>16</v>
      </c>
      <c r="D18">
        <v>30</v>
      </c>
      <c r="E18">
        <v>10</v>
      </c>
      <c r="F18">
        <v>4</v>
      </c>
      <c r="G18">
        <v>1</v>
      </c>
      <c r="H18">
        <v>2.5</v>
      </c>
      <c r="I18">
        <v>9</v>
      </c>
      <c r="K18">
        <v>10</v>
      </c>
      <c r="L18">
        <v>0.01</v>
      </c>
      <c r="M18">
        <v>33190</v>
      </c>
      <c r="N18">
        <v>0.36993070201868028</v>
      </c>
      <c r="O18">
        <v>0.18172371196143669</v>
      </c>
      <c r="P18">
        <v>-2.0799999999999268</v>
      </c>
      <c r="Q18">
        <v>-6736.5100000000029</v>
      </c>
      <c r="R18">
        <v>6031.4100000000853</v>
      </c>
      <c r="S18">
        <f t="shared" si="0"/>
        <v>-1.116904670715456</v>
      </c>
    </row>
    <row r="19" spans="1:19" x14ac:dyDescent="0.15">
      <c r="A19" t="s">
        <v>19</v>
      </c>
      <c r="B19">
        <v>3</v>
      </c>
      <c r="C19">
        <v>23</v>
      </c>
      <c r="D19">
        <v>20</v>
      </c>
      <c r="E19">
        <v>15</v>
      </c>
      <c r="F19">
        <v>4</v>
      </c>
      <c r="G19">
        <v>1</v>
      </c>
      <c r="H19">
        <v>2.6</v>
      </c>
      <c r="I19">
        <v>8</v>
      </c>
      <c r="K19">
        <v>10</v>
      </c>
      <c r="L19">
        <v>0.01</v>
      </c>
      <c r="M19">
        <v>31395</v>
      </c>
      <c r="N19">
        <v>0.3820035037426342</v>
      </c>
      <c r="O19">
        <v>0.18633444816053499</v>
      </c>
      <c r="P19">
        <v>-2.3499999999999091</v>
      </c>
      <c r="Q19">
        <v>-5460.4699999999848</v>
      </c>
      <c r="R19">
        <v>5849.9700000000748</v>
      </c>
      <c r="S19">
        <f t="shared" si="0"/>
        <v>-0.93341846197500411</v>
      </c>
    </row>
    <row r="20" spans="1:19" x14ac:dyDescent="0.15">
      <c r="A20" t="s">
        <v>19</v>
      </c>
      <c r="B20">
        <v>3</v>
      </c>
      <c r="C20">
        <v>12</v>
      </c>
      <c r="D20">
        <v>5</v>
      </c>
      <c r="E20">
        <v>30</v>
      </c>
      <c r="F20">
        <v>3.8</v>
      </c>
      <c r="G20">
        <v>1</v>
      </c>
      <c r="H20">
        <v>2.4</v>
      </c>
      <c r="I20">
        <v>10</v>
      </c>
      <c r="K20">
        <v>5</v>
      </c>
      <c r="L20">
        <v>0.01</v>
      </c>
      <c r="M20">
        <v>22299</v>
      </c>
      <c r="N20">
        <v>0.40082514910982547</v>
      </c>
      <c r="O20">
        <v>0.25926543791201317</v>
      </c>
      <c r="P20">
        <v>-2.5199999999999818</v>
      </c>
      <c r="Q20">
        <v>-4715.7400000000134</v>
      </c>
      <c r="R20">
        <v>5781.3600000000224</v>
      </c>
      <c r="S20">
        <f t="shared" si="0"/>
        <v>-0.81568004760125556</v>
      </c>
    </row>
    <row r="21" spans="1:19" x14ac:dyDescent="0.15">
      <c r="A21" t="s">
        <v>19</v>
      </c>
      <c r="B21">
        <v>3</v>
      </c>
      <c r="C21">
        <v>15</v>
      </c>
      <c r="D21">
        <v>10</v>
      </c>
      <c r="E21">
        <v>30</v>
      </c>
      <c r="F21">
        <v>4</v>
      </c>
      <c r="G21">
        <v>1</v>
      </c>
      <c r="H21">
        <v>2.1</v>
      </c>
      <c r="I21">
        <v>5</v>
      </c>
      <c r="K21">
        <v>10</v>
      </c>
      <c r="L21">
        <v>0.01</v>
      </c>
      <c r="M21">
        <v>40273</v>
      </c>
      <c r="N21">
        <v>0.34117150448191103</v>
      </c>
      <c r="O21">
        <v>0.1216517269634742</v>
      </c>
      <c r="P21">
        <v>-4.8699999999998909</v>
      </c>
      <c r="Q21">
        <v>-9342.9999999999636</v>
      </c>
      <c r="R21">
        <v>4899.2800000000461</v>
      </c>
      <c r="S21">
        <f t="shared" si="0"/>
        <v>-1.9070149083130328</v>
      </c>
    </row>
    <row r="22" spans="1:19" x14ac:dyDescent="0.15">
      <c r="A22" t="s">
        <v>19</v>
      </c>
      <c r="B22">
        <v>3</v>
      </c>
      <c r="C22">
        <v>42</v>
      </c>
      <c r="D22">
        <v>20</v>
      </c>
      <c r="E22">
        <v>25</v>
      </c>
      <c r="F22">
        <v>4</v>
      </c>
      <c r="G22">
        <v>1</v>
      </c>
      <c r="H22">
        <v>1.7</v>
      </c>
      <c r="I22">
        <v>10</v>
      </c>
      <c r="K22">
        <v>5</v>
      </c>
      <c r="L22">
        <v>0.01</v>
      </c>
      <c r="M22">
        <v>24622</v>
      </c>
      <c r="N22">
        <v>0.39436276500690443</v>
      </c>
      <c r="O22">
        <v>0.1960027617577775</v>
      </c>
      <c r="P22">
        <v>-2.57000000000005</v>
      </c>
      <c r="Q22">
        <v>-3931.7899999999941</v>
      </c>
      <c r="R22">
        <v>4825.9800000000068</v>
      </c>
      <c r="S22">
        <f t="shared" si="0"/>
        <v>-0.81471328103307272</v>
      </c>
    </row>
    <row r="23" spans="1:19" x14ac:dyDescent="0.15">
      <c r="A23" t="s">
        <v>19</v>
      </c>
      <c r="B23">
        <v>3</v>
      </c>
      <c r="C23">
        <v>10</v>
      </c>
      <c r="D23">
        <v>15</v>
      </c>
      <c r="E23">
        <v>30</v>
      </c>
      <c r="F23">
        <v>3.8</v>
      </c>
      <c r="G23">
        <v>1</v>
      </c>
      <c r="H23">
        <v>2.2999999999999998</v>
      </c>
      <c r="I23">
        <v>8</v>
      </c>
      <c r="K23">
        <v>10</v>
      </c>
      <c r="L23">
        <v>0.01</v>
      </c>
      <c r="M23">
        <v>35346</v>
      </c>
      <c r="N23">
        <v>0.3966219657104057</v>
      </c>
      <c r="O23">
        <v>0.13395207378487081</v>
      </c>
      <c r="P23">
        <v>-2.530000000000086</v>
      </c>
      <c r="Q23">
        <v>-7548.3899999999703</v>
      </c>
      <c r="R23">
        <v>4734.6700000000419</v>
      </c>
      <c r="S23">
        <f t="shared" si="0"/>
        <v>-1.5942800659813468</v>
      </c>
    </row>
    <row r="24" spans="1:19" x14ac:dyDescent="0.15">
      <c r="A24" t="s">
        <v>19</v>
      </c>
      <c r="B24">
        <v>3</v>
      </c>
      <c r="C24">
        <v>38</v>
      </c>
      <c r="D24">
        <v>10</v>
      </c>
      <c r="E24">
        <v>30</v>
      </c>
      <c r="F24">
        <v>3</v>
      </c>
      <c r="G24">
        <v>1</v>
      </c>
      <c r="H24">
        <v>1.6</v>
      </c>
      <c r="I24">
        <v>10</v>
      </c>
      <c r="K24">
        <v>4</v>
      </c>
      <c r="L24">
        <v>0.01</v>
      </c>
      <c r="M24">
        <v>22758</v>
      </c>
      <c r="N24">
        <v>0.37766939098339047</v>
      </c>
      <c r="O24">
        <v>0.1988043764829964</v>
      </c>
      <c r="P24">
        <v>-2.559999999999945</v>
      </c>
      <c r="Q24">
        <v>-3743.7300000000082</v>
      </c>
      <c r="R24">
        <v>4524.3900000000458</v>
      </c>
      <c r="S24">
        <f t="shared" si="0"/>
        <v>-0.8274551928547208</v>
      </c>
    </row>
    <row r="25" spans="1:19" x14ac:dyDescent="0.15">
      <c r="A25" t="s">
        <v>19</v>
      </c>
      <c r="B25">
        <v>3</v>
      </c>
      <c r="C25">
        <v>31</v>
      </c>
      <c r="D25">
        <v>30</v>
      </c>
      <c r="E25">
        <v>30</v>
      </c>
      <c r="F25">
        <v>2.2000000000000002</v>
      </c>
      <c r="G25">
        <v>1</v>
      </c>
      <c r="H25">
        <v>2.6</v>
      </c>
      <c r="I25">
        <v>8</v>
      </c>
      <c r="K25">
        <v>4</v>
      </c>
      <c r="L25">
        <v>0.01</v>
      </c>
      <c r="M25">
        <v>21274</v>
      </c>
      <c r="N25">
        <v>0.37106326971890569</v>
      </c>
      <c r="O25">
        <v>0.21104070696625229</v>
      </c>
      <c r="P25">
        <v>-2.2100000000000359</v>
      </c>
      <c r="Q25">
        <v>-4047.3199999999651</v>
      </c>
      <c r="R25">
        <v>4489.6800000000476</v>
      </c>
      <c r="S25">
        <f t="shared" si="0"/>
        <v>-0.90147181981787616</v>
      </c>
    </row>
    <row r="26" spans="1:19" x14ac:dyDescent="0.15">
      <c r="A26" t="s">
        <v>19</v>
      </c>
      <c r="B26">
        <v>3</v>
      </c>
      <c r="C26">
        <v>11</v>
      </c>
      <c r="D26">
        <v>10</v>
      </c>
      <c r="E26">
        <v>30</v>
      </c>
      <c r="F26">
        <v>3.8</v>
      </c>
      <c r="G26">
        <v>1</v>
      </c>
      <c r="H26">
        <v>1.9</v>
      </c>
      <c r="I26">
        <v>9</v>
      </c>
      <c r="K26">
        <v>7</v>
      </c>
      <c r="L26">
        <v>0.01</v>
      </c>
      <c r="M26">
        <v>31171</v>
      </c>
      <c r="N26">
        <v>0.39097237817201891</v>
      </c>
      <c r="O26">
        <v>0.1326701100381775</v>
      </c>
      <c r="P26">
        <v>-2.75</v>
      </c>
      <c r="Q26">
        <v>-8018.300000000022</v>
      </c>
      <c r="R26">
        <v>4135.4600000000219</v>
      </c>
      <c r="S26">
        <f t="shared" si="0"/>
        <v>-1.9389136879573203</v>
      </c>
    </row>
    <row r="27" spans="1:19" x14ac:dyDescent="0.15">
      <c r="A27" t="s">
        <v>19</v>
      </c>
      <c r="B27">
        <v>3</v>
      </c>
      <c r="C27">
        <v>41</v>
      </c>
      <c r="D27">
        <v>10</v>
      </c>
      <c r="E27">
        <v>30</v>
      </c>
      <c r="F27">
        <v>3.2</v>
      </c>
      <c r="G27">
        <v>1</v>
      </c>
      <c r="H27">
        <v>1.4</v>
      </c>
      <c r="I27">
        <v>7</v>
      </c>
      <c r="K27">
        <v>4</v>
      </c>
      <c r="L27">
        <v>0.01</v>
      </c>
      <c r="M27">
        <v>25327</v>
      </c>
      <c r="N27">
        <v>0.34974533106960948</v>
      </c>
      <c r="O27">
        <v>0.14688593200931979</v>
      </c>
      <c r="P27">
        <v>-3.3699999999998909</v>
      </c>
      <c r="Q27">
        <v>-4062.379999999956</v>
      </c>
      <c r="R27">
        <v>3720.180000000058</v>
      </c>
      <c r="S27">
        <f t="shared" si="0"/>
        <v>-1.0919847964345522</v>
      </c>
    </row>
    <row r="28" spans="1:19" x14ac:dyDescent="0.15">
      <c r="A28" t="s">
        <v>19</v>
      </c>
      <c r="B28">
        <v>3</v>
      </c>
      <c r="C28">
        <v>17</v>
      </c>
      <c r="D28">
        <v>30</v>
      </c>
      <c r="E28">
        <v>30</v>
      </c>
      <c r="F28">
        <v>3.8</v>
      </c>
      <c r="G28">
        <v>1</v>
      </c>
      <c r="H28">
        <v>1.3</v>
      </c>
      <c r="I28">
        <v>5</v>
      </c>
      <c r="K28">
        <v>10</v>
      </c>
      <c r="L28">
        <v>0.01</v>
      </c>
      <c r="M28">
        <v>53520</v>
      </c>
      <c r="N28">
        <v>0.33054932735426013</v>
      </c>
      <c r="O28">
        <v>6.2429185351271052E-2</v>
      </c>
      <c r="P28">
        <v>-5</v>
      </c>
      <c r="Q28">
        <v>-11898.09000000006</v>
      </c>
      <c r="R28">
        <v>3341.2100000000091</v>
      </c>
      <c r="S28">
        <f t="shared" si="0"/>
        <v>-3.5610123278692534</v>
      </c>
    </row>
    <row r="29" spans="1:19" x14ac:dyDescent="0.15">
      <c r="A29" t="s">
        <v>19</v>
      </c>
      <c r="B29">
        <v>3</v>
      </c>
      <c r="C29">
        <v>27</v>
      </c>
      <c r="D29">
        <v>20</v>
      </c>
      <c r="E29">
        <v>25</v>
      </c>
      <c r="F29">
        <v>3.8</v>
      </c>
      <c r="G29">
        <v>1</v>
      </c>
      <c r="H29">
        <v>1</v>
      </c>
      <c r="I29">
        <v>4</v>
      </c>
      <c r="K29">
        <v>10</v>
      </c>
      <c r="L29">
        <v>0.01</v>
      </c>
      <c r="M29">
        <v>64548</v>
      </c>
      <c r="N29">
        <v>0.28510565780504432</v>
      </c>
      <c r="O29">
        <v>5.1490518683770171E-2</v>
      </c>
      <c r="P29">
        <v>-4</v>
      </c>
      <c r="Q29">
        <v>-7779.2999999999893</v>
      </c>
      <c r="R29">
        <v>3323.610000000027</v>
      </c>
      <c r="S29">
        <f t="shared" si="0"/>
        <v>-2.3406175814851702</v>
      </c>
    </row>
    <row r="30" spans="1:19" x14ac:dyDescent="0.15">
      <c r="A30" t="s">
        <v>19</v>
      </c>
      <c r="B30">
        <v>3</v>
      </c>
      <c r="C30">
        <v>34</v>
      </c>
      <c r="D30">
        <v>15</v>
      </c>
      <c r="E30">
        <v>30</v>
      </c>
      <c r="F30">
        <v>3.8</v>
      </c>
      <c r="G30">
        <v>1</v>
      </c>
      <c r="H30">
        <v>1.3</v>
      </c>
      <c r="I30">
        <v>9</v>
      </c>
      <c r="K30">
        <v>3</v>
      </c>
      <c r="L30">
        <v>0.01</v>
      </c>
      <c r="M30">
        <v>18315</v>
      </c>
      <c r="N30">
        <v>0.3819273819273819</v>
      </c>
      <c r="O30">
        <v>0.17576958776959059</v>
      </c>
      <c r="P30">
        <v>-2.9499999999998181</v>
      </c>
      <c r="Q30">
        <v>-4075.9999999999968</v>
      </c>
      <c r="R30">
        <v>3219.2200000000598</v>
      </c>
      <c r="S30">
        <f t="shared" si="0"/>
        <v>-1.2661452153005763</v>
      </c>
    </row>
    <row r="31" spans="1:19" x14ac:dyDescent="0.15">
      <c r="A31" t="s">
        <v>19</v>
      </c>
      <c r="B31">
        <v>3</v>
      </c>
      <c r="C31">
        <v>37</v>
      </c>
      <c r="D31">
        <v>10</v>
      </c>
      <c r="E31">
        <v>30</v>
      </c>
      <c r="F31">
        <v>3.8</v>
      </c>
      <c r="G31">
        <v>1</v>
      </c>
      <c r="H31">
        <v>2.1</v>
      </c>
      <c r="I31">
        <v>4</v>
      </c>
      <c r="K31">
        <v>7</v>
      </c>
      <c r="L31">
        <v>0.01</v>
      </c>
      <c r="M31">
        <v>35852</v>
      </c>
      <c r="N31">
        <v>0.30107106995425642</v>
      </c>
      <c r="O31">
        <v>7.6845643199821401E-2</v>
      </c>
      <c r="P31">
        <v>-4</v>
      </c>
      <c r="Q31">
        <v>-7133.9600000000009</v>
      </c>
      <c r="R31">
        <v>2755.0699999999888</v>
      </c>
      <c r="S31">
        <f t="shared" si="0"/>
        <v>-2.589393372945163</v>
      </c>
    </row>
    <row r="32" spans="1:19" x14ac:dyDescent="0.15">
      <c r="A32" t="s">
        <v>19</v>
      </c>
      <c r="B32">
        <v>3</v>
      </c>
      <c r="C32">
        <v>26</v>
      </c>
      <c r="D32">
        <v>15</v>
      </c>
      <c r="E32">
        <v>30</v>
      </c>
      <c r="F32">
        <v>3.6</v>
      </c>
      <c r="G32">
        <v>1</v>
      </c>
      <c r="H32">
        <v>1</v>
      </c>
      <c r="I32">
        <v>5</v>
      </c>
      <c r="K32">
        <v>3</v>
      </c>
      <c r="L32">
        <v>0.01</v>
      </c>
      <c r="M32">
        <v>25008</v>
      </c>
      <c r="N32">
        <v>0.30898112603966732</v>
      </c>
      <c r="O32">
        <v>0.10994841650672001</v>
      </c>
      <c r="P32">
        <v>-5</v>
      </c>
      <c r="Q32">
        <v>-3978.6099999999792</v>
      </c>
      <c r="R32">
        <v>2749.590000000052</v>
      </c>
      <c r="S32">
        <f t="shared" si="0"/>
        <v>-1.4469830047388534</v>
      </c>
    </row>
    <row r="33" spans="1:19" x14ac:dyDescent="0.15">
      <c r="A33" t="s">
        <v>19</v>
      </c>
      <c r="B33">
        <v>3</v>
      </c>
      <c r="C33">
        <v>21</v>
      </c>
      <c r="D33">
        <v>15</v>
      </c>
      <c r="E33">
        <v>25</v>
      </c>
      <c r="F33">
        <v>2.6</v>
      </c>
      <c r="G33">
        <v>1</v>
      </c>
      <c r="H33">
        <v>2.9</v>
      </c>
      <c r="I33">
        <v>9</v>
      </c>
      <c r="K33">
        <v>10</v>
      </c>
      <c r="L33">
        <v>0.01</v>
      </c>
      <c r="M33">
        <v>26849</v>
      </c>
      <c r="N33">
        <v>0.37815188647621878</v>
      </c>
      <c r="O33">
        <v>8.7209579500169346E-2</v>
      </c>
      <c r="P33">
        <v>-2.1200000000001178</v>
      </c>
      <c r="Q33">
        <v>-4993.5200000000123</v>
      </c>
      <c r="R33">
        <v>2341.4900000000439</v>
      </c>
      <c r="S33">
        <f t="shared" si="0"/>
        <v>-2.1326249524874838</v>
      </c>
    </row>
    <row r="34" spans="1:19" x14ac:dyDescent="0.15">
      <c r="A34" t="s">
        <v>19</v>
      </c>
      <c r="B34">
        <v>3</v>
      </c>
      <c r="C34">
        <v>25</v>
      </c>
      <c r="D34">
        <v>30</v>
      </c>
      <c r="E34">
        <v>30</v>
      </c>
      <c r="F34">
        <v>2.6</v>
      </c>
      <c r="G34">
        <v>1</v>
      </c>
      <c r="H34">
        <v>2.5</v>
      </c>
      <c r="I34">
        <v>7</v>
      </c>
      <c r="K34">
        <v>7</v>
      </c>
      <c r="L34">
        <v>0.01</v>
      </c>
      <c r="M34">
        <v>28694</v>
      </c>
      <c r="N34">
        <v>0.3754443437652471</v>
      </c>
      <c r="O34">
        <v>8.1031574545202822E-2</v>
      </c>
      <c r="P34">
        <v>-2.440000000000055</v>
      </c>
      <c r="Q34">
        <v>-6984.6500000000033</v>
      </c>
      <c r="R34">
        <v>2325.120000000059</v>
      </c>
      <c r="S34">
        <f t="shared" ref="S34:S52" si="1">Q34/R34</f>
        <v>-3.0039954927056778</v>
      </c>
    </row>
    <row r="35" spans="1:19" x14ac:dyDescent="0.15">
      <c r="A35" t="s">
        <v>19</v>
      </c>
      <c r="B35">
        <v>3</v>
      </c>
      <c r="C35">
        <v>6</v>
      </c>
      <c r="D35">
        <v>5</v>
      </c>
      <c r="E35">
        <v>30</v>
      </c>
      <c r="F35">
        <v>3.4</v>
      </c>
      <c r="G35">
        <v>1</v>
      </c>
      <c r="H35">
        <v>1.2</v>
      </c>
      <c r="I35">
        <v>10</v>
      </c>
      <c r="K35">
        <v>4</v>
      </c>
      <c r="L35">
        <v>0.01</v>
      </c>
      <c r="M35">
        <v>23042</v>
      </c>
      <c r="N35">
        <v>0.37275410120649249</v>
      </c>
      <c r="O35">
        <v>0.10050907039319611</v>
      </c>
      <c r="P35">
        <v>-2.7799999999999732</v>
      </c>
      <c r="Q35">
        <v>-5200.9599999999664</v>
      </c>
      <c r="R35">
        <v>2315.9300000000449</v>
      </c>
      <c r="S35">
        <f t="shared" si="1"/>
        <v>-2.2457328157586223</v>
      </c>
    </row>
    <row r="36" spans="1:19" x14ac:dyDescent="0.15">
      <c r="A36" t="s">
        <v>19</v>
      </c>
      <c r="B36">
        <v>3</v>
      </c>
      <c r="C36">
        <v>20</v>
      </c>
      <c r="D36">
        <v>20</v>
      </c>
      <c r="E36">
        <v>10</v>
      </c>
      <c r="F36">
        <v>2.6</v>
      </c>
      <c r="G36">
        <v>1</v>
      </c>
      <c r="H36">
        <v>1.6</v>
      </c>
      <c r="I36">
        <v>6</v>
      </c>
      <c r="K36">
        <v>5</v>
      </c>
      <c r="L36">
        <v>0.01</v>
      </c>
      <c r="M36">
        <v>40160</v>
      </c>
      <c r="N36">
        <v>0.3307519920318725</v>
      </c>
      <c r="O36">
        <v>5.2891683266932547E-2</v>
      </c>
      <c r="P36">
        <v>-1.640000000000327</v>
      </c>
      <c r="Q36">
        <v>-9239.4400000000187</v>
      </c>
      <c r="R36">
        <v>2124.1299999999778</v>
      </c>
      <c r="S36">
        <f t="shared" si="1"/>
        <v>-4.3497526045958184</v>
      </c>
    </row>
    <row r="37" spans="1:19" x14ac:dyDescent="0.15">
      <c r="A37" t="s">
        <v>19</v>
      </c>
      <c r="B37">
        <v>3</v>
      </c>
      <c r="C37">
        <v>48</v>
      </c>
      <c r="D37">
        <v>10</v>
      </c>
      <c r="E37">
        <v>20</v>
      </c>
      <c r="F37">
        <v>3.6</v>
      </c>
      <c r="G37">
        <v>1</v>
      </c>
      <c r="H37">
        <v>2.6</v>
      </c>
      <c r="I37">
        <v>7</v>
      </c>
      <c r="K37">
        <v>7</v>
      </c>
      <c r="L37">
        <v>0.01</v>
      </c>
      <c r="M37">
        <v>27622</v>
      </c>
      <c r="N37">
        <v>0.36347838679313588</v>
      </c>
      <c r="O37">
        <v>7.0565129244804778E-2</v>
      </c>
      <c r="P37">
        <v>-2.799999999999955</v>
      </c>
      <c r="Q37">
        <v>-5322.8299999999717</v>
      </c>
      <c r="R37">
        <v>1949.150000000006</v>
      </c>
      <c r="S37">
        <f t="shared" si="1"/>
        <v>-2.7308467793653413</v>
      </c>
    </row>
    <row r="38" spans="1:19" x14ac:dyDescent="0.15">
      <c r="A38" t="s">
        <v>19</v>
      </c>
      <c r="B38">
        <v>3</v>
      </c>
      <c r="C38">
        <v>46</v>
      </c>
      <c r="D38">
        <v>15</v>
      </c>
      <c r="E38">
        <v>20</v>
      </c>
      <c r="F38">
        <v>4</v>
      </c>
      <c r="G38">
        <v>1</v>
      </c>
      <c r="H38">
        <v>2.8</v>
      </c>
      <c r="I38">
        <v>9</v>
      </c>
      <c r="K38">
        <v>5</v>
      </c>
      <c r="L38">
        <v>0.01</v>
      </c>
      <c r="M38">
        <v>21176</v>
      </c>
      <c r="N38">
        <v>0.39332262939176432</v>
      </c>
      <c r="O38">
        <v>9.1787873063845532E-2</v>
      </c>
      <c r="P38">
        <v>-2.5500000000000682</v>
      </c>
      <c r="Q38">
        <v>-3810.6399999999958</v>
      </c>
      <c r="R38">
        <v>1943.699999999975</v>
      </c>
      <c r="S38">
        <f t="shared" si="1"/>
        <v>-1.9605083088954287</v>
      </c>
    </row>
    <row r="39" spans="1:19" x14ac:dyDescent="0.15">
      <c r="A39" t="s">
        <v>19</v>
      </c>
      <c r="B39">
        <v>3</v>
      </c>
      <c r="C39">
        <v>39</v>
      </c>
      <c r="D39">
        <v>20</v>
      </c>
      <c r="E39">
        <v>30</v>
      </c>
      <c r="F39">
        <v>3.4</v>
      </c>
      <c r="G39">
        <v>1</v>
      </c>
      <c r="H39">
        <v>1.3</v>
      </c>
      <c r="I39">
        <v>8</v>
      </c>
      <c r="K39">
        <v>5</v>
      </c>
      <c r="L39">
        <v>0.01</v>
      </c>
      <c r="M39">
        <v>28324</v>
      </c>
      <c r="N39">
        <v>0.36887445276090952</v>
      </c>
      <c r="O39">
        <v>6.7978039824884207E-2</v>
      </c>
      <c r="P39">
        <v>-2.9649999999999181</v>
      </c>
      <c r="Q39">
        <v>-6719.4199999999882</v>
      </c>
      <c r="R39">
        <v>1925.4100000000089</v>
      </c>
      <c r="S39">
        <f t="shared" si="1"/>
        <v>-3.4898644963929537</v>
      </c>
    </row>
    <row r="40" spans="1:19" x14ac:dyDescent="0.15">
      <c r="A40" t="s">
        <v>19</v>
      </c>
      <c r="B40">
        <v>3</v>
      </c>
      <c r="C40">
        <v>0</v>
      </c>
      <c r="D40">
        <v>5</v>
      </c>
      <c r="E40">
        <v>30</v>
      </c>
      <c r="F40">
        <v>3.4</v>
      </c>
      <c r="G40">
        <v>1</v>
      </c>
      <c r="H40">
        <v>1.1000000000000001</v>
      </c>
      <c r="I40">
        <v>8</v>
      </c>
      <c r="K40">
        <v>10</v>
      </c>
      <c r="L40">
        <v>0.01</v>
      </c>
      <c r="M40">
        <v>49615</v>
      </c>
      <c r="N40">
        <v>0.36021364506701598</v>
      </c>
      <c r="O40">
        <v>3.26669354026006E-2</v>
      </c>
      <c r="P40">
        <v>-3.0500000000001819</v>
      </c>
      <c r="Q40">
        <v>-12483.029999999961</v>
      </c>
      <c r="R40">
        <v>1620.7700000000109</v>
      </c>
      <c r="S40">
        <f t="shared" si="1"/>
        <v>-7.7019132881284058</v>
      </c>
    </row>
    <row r="41" spans="1:19" x14ac:dyDescent="0.15">
      <c r="A41" t="s">
        <v>19</v>
      </c>
      <c r="B41">
        <v>3</v>
      </c>
      <c r="C41">
        <v>36</v>
      </c>
      <c r="D41">
        <v>10</v>
      </c>
      <c r="E41">
        <v>20</v>
      </c>
      <c r="F41">
        <v>4</v>
      </c>
      <c r="G41">
        <v>1</v>
      </c>
      <c r="H41">
        <v>2.2999999999999998</v>
      </c>
      <c r="I41">
        <v>5</v>
      </c>
      <c r="K41">
        <v>7</v>
      </c>
      <c r="L41">
        <v>0.01</v>
      </c>
      <c r="M41">
        <v>31841</v>
      </c>
      <c r="N41">
        <v>0.32831883420746838</v>
      </c>
      <c r="O41">
        <v>4.826827046889292E-2</v>
      </c>
      <c r="P41">
        <v>-4.0699999999999363</v>
      </c>
      <c r="Q41">
        <v>-5570.6299999999737</v>
      </c>
      <c r="R41">
        <v>1536.910000000013</v>
      </c>
      <c r="S41">
        <f t="shared" si="1"/>
        <v>-3.6245648736750535</v>
      </c>
    </row>
    <row r="42" spans="1:19" x14ac:dyDescent="0.15">
      <c r="A42" t="s">
        <v>19</v>
      </c>
      <c r="B42">
        <v>3</v>
      </c>
      <c r="C42">
        <v>4</v>
      </c>
      <c r="D42">
        <v>10</v>
      </c>
      <c r="E42">
        <v>20</v>
      </c>
      <c r="F42">
        <v>4</v>
      </c>
      <c r="G42">
        <v>1</v>
      </c>
      <c r="H42">
        <v>1.7</v>
      </c>
      <c r="I42">
        <v>10</v>
      </c>
      <c r="K42">
        <v>10</v>
      </c>
      <c r="L42">
        <v>0.01</v>
      </c>
      <c r="M42">
        <v>41984</v>
      </c>
      <c r="N42">
        <v>0.3835985137195122</v>
      </c>
      <c r="O42">
        <v>2.8903629954269799E-2</v>
      </c>
      <c r="P42">
        <v>-2.5799999999999268</v>
      </c>
      <c r="Q42">
        <v>-10387.68999999994</v>
      </c>
      <c r="R42">
        <v>1213.4900000000771</v>
      </c>
      <c r="S42">
        <f t="shared" si="1"/>
        <v>-8.5601776693662739</v>
      </c>
    </row>
    <row r="43" spans="1:19" x14ac:dyDescent="0.15">
      <c r="A43" t="s">
        <v>19</v>
      </c>
      <c r="B43">
        <v>3</v>
      </c>
      <c r="C43">
        <v>32</v>
      </c>
      <c r="D43">
        <v>5</v>
      </c>
      <c r="E43">
        <v>25</v>
      </c>
      <c r="F43">
        <v>3.8</v>
      </c>
      <c r="G43">
        <v>1</v>
      </c>
      <c r="H43">
        <v>1.6</v>
      </c>
      <c r="I43">
        <v>6</v>
      </c>
      <c r="K43">
        <v>4</v>
      </c>
      <c r="L43">
        <v>0.01</v>
      </c>
      <c r="M43">
        <v>25527</v>
      </c>
      <c r="N43">
        <v>0.32730050534727928</v>
      </c>
      <c r="O43">
        <v>3.8713127277000173E-2</v>
      </c>
      <c r="P43">
        <v>-4.0500000000001819</v>
      </c>
      <c r="Q43">
        <v>-5012.7700000000132</v>
      </c>
      <c r="R43">
        <v>988.22999999998638</v>
      </c>
      <c r="S43">
        <f t="shared" si="1"/>
        <v>-5.0724730072959554</v>
      </c>
    </row>
    <row r="44" spans="1:19" x14ac:dyDescent="0.15">
      <c r="A44" t="s">
        <v>19</v>
      </c>
      <c r="B44">
        <v>3</v>
      </c>
      <c r="C44">
        <v>2</v>
      </c>
      <c r="D44">
        <v>5</v>
      </c>
      <c r="E44">
        <v>30</v>
      </c>
      <c r="F44">
        <v>3.4</v>
      </c>
      <c r="G44">
        <v>1</v>
      </c>
      <c r="H44">
        <v>1.3</v>
      </c>
      <c r="I44">
        <v>7</v>
      </c>
      <c r="K44">
        <v>10</v>
      </c>
      <c r="L44">
        <v>0.01</v>
      </c>
      <c r="M44">
        <v>49182</v>
      </c>
      <c r="N44">
        <v>0.35088040339961768</v>
      </c>
      <c r="O44">
        <v>-1.3107641006872299E-2</v>
      </c>
      <c r="P44">
        <v>-3.2899999999999641</v>
      </c>
      <c r="Q44">
        <v>-12484.63</v>
      </c>
      <c r="R44">
        <v>-644.66000000001759</v>
      </c>
      <c r="S44">
        <f t="shared" si="1"/>
        <v>19.366224056091053</v>
      </c>
    </row>
    <row r="45" spans="1:19" x14ac:dyDescent="0.15">
      <c r="A45" t="s">
        <v>19</v>
      </c>
      <c r="B45">
        <v>3</v>
      </c>
      <c r="C45">
        <v>43</v>
      </c>
      <c r="D45">
        <v>15</v>
      </c>
      <c r="E45">
        <v>10</v>
      </c>
      <c r="F45">
        <v>3</v>
      </c>
      <c r="G45">
        <v>1</v>
      </c>
      <c r="H45">
        <v>2.6</v>
      </c>
      <c r="I45">
        <v>9</v>
      </c>
      <c r="K45">
        <v>7</v>
      </c>
      <c r="L45">
        <v>0.01</v>
      </c>
      <c r="M45">
        <v>28758</v>
      </c>
      <c r="N45">
        <v>0.34825092148271791</v>
      </c>
      <c r="O45">
        <v>-2.6121079351832801E-2</v>
      </c>
      <c r="P45">
        <v>-1.769999999999982</v>
      </c>
      <c r="Q45">
        <v>-9817.2799999999443</v>
      </c>
      <c r="R45">
        <v>-751.18999999993503</v>
      </c>
      <c r="S45">
        <f t="shared" si="1"/>
        <v>13.068970566701891</v>
      </c>
    </row>
    <row r="46" spans="1:19" x14ac:dyDescent="0.15">
      <c r="A46" t="s">
        <v>19</v>
      </c>
      <c r="B46">
        <v>3</v>
      </c>
      <c r="C46">
        <v>28</v>
      </c>
      <c r="D46">
        <v>25</v>
      </c>
      <c r="E46">
        <v>30</v>
      </c>
      <c r="F46">
        <v>2.8</v>
      </c>
      <c r="G46">
        <v>1</v>
      </c>
      <c r="H46">
        <v>1.9</v>
      </c>
      <c r="I46">
        <v>8</v>
      </c>
      <c r="K46">
        <v>10</v>
      </c>
      <c r="L46">
        <v>0.01</v>
      </c>
      <c r="M46">
        <v>41335</v>
      </c>
      <c r="N46">
        <v>0.37832345469940731</v>
      </c>
      <c r="O46">
        <v>-3.1698076690454817E-2</v>
      </c>
      <c r="P46">
        <v>-2.4600000000000359</v>
      </c>
      <c r="Q46">
        <v>-10161.47999999999</v>
      </c>
      <c r="R46">
        <v>-1310.239999999988</v>
      </c>
      <c r="S46">
        <f t="shared" si="1"/>
        <v>7.7554341189401059</v>
      </c>
    </row>
    <row r="47" spans="1:19" x14ac:dyDescent="0.15">
      <c r="A47" t="s">
        <v>19</v>
      </c>
      <c r="B47">
        <v>3</v>
      </c>
      <c r="C47">
        <v>35</v>
      </c>
      <c r="D47">
        <v>15</v>
      </c>
      <c r="E47">
        <v>10</v>
      </c>
      <c r="F47">
        <v>2.8</v>
      </c>
      <c r="G47">
        <v>1</v>
      </c>
      <c r="H47">
        <v>1.5</v>
      </c>
      <c r="I47">
        <v>8</v>
      </c>
      <c r="K47">
        <v>7</v>
      </c>
      <c r="L47">
        <v>0.01</v>
      </c>
      <c r="M47">
        <v>47157</v>
      </c>
      <c r="N47">
        <v>0.33765930826812562</v>
      </c>
      <c r="O47">
        <v>-4.2649659647560102E-2</v>
      </c>
      <c r="P47">
        <v>-1.6999999999998181</v>
      </c>
      <c r="Q47">
        <v>-16209.340000000029</v>
      </c>
      <c r="R47">
        <v>-2011.2300000000409</v>
      </c>
      <c r="S47">
        <f t="shared" si="1"/>
        <v>8.0594163770427549</v>
      </c>
    </row>
    <row r="48" spans="1:19" x14ac:dyDescent="0.15">
      <c r="A48" t="s">
        <v>19</v>
      </c>
      <c r="B48">
        <v>3</v>
      </c>
      <c r="C48">
        <v>3</v>
      </c>
      <c r="D48">
        <v>5</v>
      </c>
      <c r="E48">
        <v>30</v>
      </c>
      <c r="F48">
        <v>3.2</v>
      </c>
      <c r="G48">
        <v>1</v>
      </c>
      <c r="H48">
        <v>1.4</v>
      </c>
      <c r="I48">
        <v>8</v>
      </c>
      <c r="K48">
        <v>7</v>
      </c>
      <c r="L48">
        <v>0.01</v>
      </c>
      <c r="M48">
        <v>36539</v>
      </c>
      <c r="N48">
        <v>0.35624948684966751</v>
      </c>
      <c r="O48">
        <v>-0.10065956922739989</v>
      </c>
      <c r="P48">
        <v>-2.9800000000000182</v>
      </c>
      <c r="Q48">
        <v>-8848.7099999999555</v>
      </c>
      <c r="R48">
        <v>-3677.9999999999659</v>
      </c>
      <c r="S48">
        <f t="shared" si="1"/>
        <v>2.4058482871125713</v>
      </c>
    </row>
    <row r="49" spans="1:19" x14ac:dyDescent="0.15">
      <c r="A49" t="s">
        <v>19</v>
      </c>
      <c r="B49">
        <v>3</v>
      </c>
      <c r="C49">
        <v>30</v>
      </c>
      <c r="D49">
        <v>15</v>
      </c>
      <c r="E49">
        <v>10</v>
      </c>
      <c r="F49">
        <v>2.8</v>
      </c>
      <c r="G49">
        <v>1</v>
      </c>
      <c r="H49">
        <v>1.3</v>
      </c>
      <c r="I49">
        <v>8</v>
      </c>
      <c r="K49">
        <v>10</v>
      </c>
      <c r="L49">
        <v>0.01</v>
      </c>
      <c r="M49">
        <v>62384</v>
      </c>
      <c r="N49">
        <v>0.33640035906642729</v>
      </c>
      <c r="O49">
        <v>-5.9777186458066248E-2</v>
      </c>
      <c r="P49">
        <v>-1.670000000000073</v>
      </c>
      <c r="Q49">
        <v>-21098.190000000079</v>
      </c>
      <c r="R49">
        <v>-3729.140000000129</v>
      </c>
      <c r="S49">
        <f t="shared" si="1"/>
        <v>5.6576556525095194</v>
      </c>
    </row>
    <row r="50" spans="1:19" x14ac:dyDescent="0.15">
      <c r="A50" t="s">
        <v>19</v>
      </c>
      <c r="B50">
        <v>3</v>
      </c>
      <c r="C50">
        <v>29</v>
      </c>
      <c r="D50">
        <v>10</v>
      </c>
      <c r="E50">
        <v>5</v>
      </c>
      <c r="F50">
        <v>3.4</v>
      </c>
      <c r="G50">
        <v>1</v>
      </c>
      <c r="H50">
        <v>1.8</v>
      </c>
      <c r="I50">
        <v>8</v>
      </c>
      <c r="K50">
        <v>10</v>
      </c>
      <c r="L50">
        <v>0.01</v>
      </c>
      <c r="M50">
        <v>51603</v>
      </c>
      <c r="N50">
        <v>0.32587252679107798</v>
      </c>
      <c r="O50">
        <v>-0.1019557002499857</v>
      </c>
      <c r="P50">
        <v>-1.399999999999864</v>
      </c>
      <c r="Q50">
        <v>-10052.47999999994</v>
      </c>
      <c r="R50">
        <v>-5261.2199999999457</v>
      </c>
      <c r="S50">
        <f t="shared" si="1"/>
        <v>1.9106747104283879</v>
      </c>
    </row>
    <row r="51" spans="1:19" x14ac:dyDescent="0.15">
      <c r="A51" t="s">
        <v>19</v>
      </c>
      <c r="B51">
        <v>3</v>
      </c>
      <c r="C51">
        <v>33</v>
      </c>
      <c r="D51">
        <v>5</v>
      </c>
      <c r="E51">
        <v>30</v>
      </c>
      <c r="F51">
        <v>2.8</v>
      </c>
      <c r="G51">
        <v>1</v>
      </c>
      <c r="H51">
        <v>1.2</v>
      </c>
      <c r="I51">
        <v>5</v>
      </c>
      <c r="K51">
        <v>10</v>
      </c>
      <c r="L51">
        <v>0.01</v>
      </c>
      <c r="M51">
        <v>57554</v>
      </c>
      <c r="N51">
        <v>0.30498314626264028</v>
      </c>
      <c r="O51">
        <v>-0.22260746429440181</v>
      </c>
      <c r="P51">
        <v>-4.0099999999997644</v>
      </c>
      <c r="Q51">
        <v>-15288.909999999991</v>
      </c>
      <c r="R51">
        <v>-12811.95</v>
      </c>
      <c r="S51">
        <f t="shared" si="1"/>
        <v>1.1933320064471051</v>
      </c>
    </row>
    <row r="52" spans="1:19" x14ac:dyDescent="0.15">
      <c r="S52" t="e">
        <f t="shared" si="1"/>
        <v>#DIV/0!</v>
      </c>
    </row>
  </sheetData>
  <phoneticPr fontId="2"/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JP225</vt:lpstr>
      <vt:lpstr>XAUUSD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Ikuo Kudo</cp:lastModifiedBy>
  <dcterms:created xsi:type="dcterms:W3CDTF">2025-10-29T00:11:20Z</dcterms:created>
  <dcterms:modified xsi:type="dcterms:W3CDTF">2025-10-30T12:08:21Z</dcterms:modified>
</cp:coreProperties>
</file>