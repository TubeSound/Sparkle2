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ocs9\develop\github\TubeSound\Sparkle2\Montblanc\v4\"/>
    </mc:Choice>
  </mc:AlternateContent>
  <xr:revisionPtr revIDLastSave="0" documentId="13_ncr:1_{1CAEC5CA-3679-4C7F-B631-BAC1E81D0F3D}" xr6:coauthVersionLast="47" xr6:coauthVersionMax="47" xr10:uidLastSave="{00000000-0000-0000-0000-000000000000}"/>
  <bookViews>
    <workbookView xWindow="5460" yWindow="5460" windowWidth="43200" windowHeight="23445" xr2:uid="{00000000-000D-0000-FFFF-FFFF00000000}"/>
  </bookViews>
  <sheets>
    <sheet name="Sheet1" sheetId="2" r:id="rId1"/>
    <sheet name="JP225" sheetId="1" r:id="rId2"/>
    <sheet name="USDJP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2" i="2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<sst xmlns="http://schemas.openxmlformats.org/spreadsheetml/2006/main" count="158" uniqueCount="22">
  <si>
    <t>symbol</t>
  </si>
  <si>
    <t>version</t>
  </si>
  <si>
    <t>i</t>
  </si>
  <si>
    <t>atr_term</t>
  </si>
  <si>
    <t>trend_minutes</t>
  </si>
  <si>
    <t>trend_multiply</t>
  </si>
  <si>
    <t>trend_micro_minutes</t>
  </si>
  <si>
    <t>trend_micro_multiply</t>
  </si>
  <si>
    <t>sl</t>
  </si>
  <si>
    <t>sl_loose</t>
  </si>
  <si>
    <t>position_max</t>
  </si>
  <si>
    <t>volume</t>
  </si>
  <si>
    <t>trades</t>
  </si>
  <si>
    <t>win_rate</t>
  </si>
  <si>
    <t>profit_mean</t>
  </si>
  <si>
    <t>profit_median</t>
  </si>
  <si>
    <t>drawdown_min</t>
  </si>
  <si>
    <t>profit</t>
  </si>
  <si>
    <t>JP225</t>
  </si>
  <si>
    <t>USDJPY</t>
  </si>
  <si>
    <t>comment</t>
    <phoneticPr fontId="2"/>
  </si>
  <si>
    <t>sl 40-&gt;100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</si>
</sst>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ont="1" applyFill="1"/>
    <xf numFmtId="0" fontId="1" fillId="0" borderId="2" xfId="0" applyFont="1" applyFill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66674</xdr:colOff>
      <xdr:row>3</xdr:row>
      <xdr:rowOff>119061</xdr:rowOff>
    </xdr:from>
    <xdr:to>
      <xdr:col>30</xdr:col>
      <xdr:colOff>495299</xdr:colOff>
      <xdr:row>26</xdr:row>
      <xdr:rowOff>161924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1EC567E-A70D-AC37-01FC-92FC5F55C3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96874" y="633411"/>
          <a:ext cx="7972425" cy="39862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333374</xdr:colOff>
      <xdr:row>0</xdr:row>
      <xdr:rowOff>0</xdr:rowOff>
    </xdr:from>
    <xdr:ext cx="6734175" cy="3367088"/>
    <xdr:pic>
      <xdr:nvPicPr>
        <xdr:cNvPr id="2" name="図 1">
          <a:extLst>
            <a:ext uri="{FF2B5EF4-FFF2-40B4-BE49-F238E27FC236}">
              <a16:creationId xmlns:a16="http://schemas.microsoft.com/office/drawing/2014/main" id="{5BD2DA3B-B239-4335-A87A-63892FFF0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63574" y="0"/>
          <a:ext cx="6734175" cy="33670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1C628-4EAB-4B1F-8BBA-1C8A76BD560B}">
  <dimension ref="A1:T3"/>
  <sheetViews>
    <sheetView tabSelected="1" workbookViewId="0">
      <selection activeCell="T3" sqref="T3"/>
    </sheetView>
  </sheetViews>
  <sheetFormatPr defaultRowHeight="13.5" x14ac:dyDescent="0.15"/>
  <sheetData>
    <row r="1" spans="1:2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4" t="s">
        <v>20</v>
      </c>
    </row>
    <row r="2" spans="1:20" s="2" customFormat="1" x14ac:dyDescent="0.15">
      <c r="A2" s="2" t="s">
        <v>18</v>
      </c>
      <c r="B2" s="2">
        <v>4</v>
      </c>
      <c r="C2" s="2">
        <v>8</v>
      </c>
      <c r="D2" s="2">
        <v>25</v>
      </c>
      <c r="E2" s="2">
        <v>5</v>
      </c>
      <c r="F2" s="2">
        <v>4</v>
      </c>
      <c r="G2" s="2">
        <v>1</v>
      </c>
      <c r="H2" s="2">
        <v>2.6</v>
      </c>
      <c r="I2" s="3">
        <v>100</v>
      </c>
      <c r="K2" s="2">
        <v>7</v>
      </c>
      <c r="L2" s="2">
        <v>0.01</v>
      </c>
      <c r="M2" s="2">
        <v>26140</v>
      </c>
      <c r="N2" s="2">
        <v>0.30241009946442232</v>
      </c>
      <c r="O2" s="2">
        <v>3.601742157612855</v>
      </c>
      <c r="P2" s="2">
        <v>-25</v>
      </c>
      <c r="Q2" s="2">
        <v>-16196</v>
      </c>
      <c r="R2" s="2">
        <v>94149.540000000066</v>
      </c>
      <c r="S2" s="2">
        <f t="shared" ref="S2" si="0">Q2/R2</f>
        <v>-0.17202420744700386</v>
      </c>
      <c r="T2" s="2" t="s">
        <v>21</v>
      </c>
    </row>
    <row r="3" spans="1:20" x14ac:dyDescent="0.15">
      <c r="A3" s="2" t="s">
        <v>19</v>
      </c>
      <c r="B3" s="2">
        <v>4</v>
      </c>
      <c r="C3" s="2">
        <v>7</v>
      </c>
      <c r="D3" s="2">
        <v>10</v>
      </c>
      <c r="E3" s="2">
        <v>20</v>
      </c>
      <c r="F3" s="2">
        <v>2.4</v>
      </c>
      <c r="G3" s="2">
        <v>1</v>
      </c>
      <c r="H3" s="2">
        <v>3</v>
      </c>
      <c r="I3" s="2">
        <v>0.03</v>
      </c>
      <c r="J3" s="2"/>
      <c r="K3" s="2">
        <v>5</v>
      </c>
      <c r="L3" s="2">
        <v>0.01</v>
      </c>
      <c r="M3" s="2">
        <v>18088</v>
      </c>
      <c r="N3" s="2">
        <v>0.18199911543564801</v>
      </c>
      <c r="O3" s="2">
        <v>6.0915524104378877E-3</v>
      </c>
      <c r="P3" s="2">
        <v>-0.03</v>
      </c>
      <c r="Q3" s="2">
        <v>-21.89700000000062</v>
      </c>
      <c r="R3" s="2">
        <v>110.18399999998709</v>
      </c>
      <c r="S3" s="2">
        <f>Q3/R3</f>
        <v>-0.19873121324333101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1"/>
  <sheetViews>
    <sheetView workbookViewId="0">
      <selection sqref="A1:XFD3"/>
    </sheetView>
  </sheetViews>
  <sheetFormatPr defaultRowHeight="13.5" x14ac:dyDescent="0.15"/>
  <sheetData>
    <row r="1" spans="1:1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9" x14ac:dyDescent="0.15">
      <c r="A2" t="s">
        <v>18</v>
      </c>
      <c r="B2">
        <v>4</v>
      </c>
      <c r="C2">
        <v>36</v>
      </c>
      <c r="D2">
        <v>15</v>
      </c>
      <c r="E2">
        <v>15</v>
      </c>
      <c r="F2">
        <v>3.6</v>
      </c>
      <c r="G2">
        <v>1</v>
      </c>
      <c r="H2">
        <v>2.1</v>
      </c>
      <c r="I2">
        <v>60</v>
      </c>
      <c r="K2">
        <v>7</v>
      </c>
      <c r="L2">
        <v>0.01</v>
      </c>
      <c r="M2">
        <v>33229</v>
      </c>
      <c r="N2">
        <v>0.32236901501700321</v>
      </c>
      <c r="O2">
        <v>3.5067910560052979</v>
      </c>
      <c r="P2">
        <v>-10</v>
      </c>
      <c r="Q2">
        <v>-32028.14999999994</v>
      </c>
      <c r="R2">
        <v>116527.16000000011</v>
      </c>
      <c r="S2">
        <f>Q2/R2</f>
        <v>-0.27485566455064991</v>
      </c>
    </row>
    <row r="3" spans="1:19" s="2" customFormat="1" x14ac:dyDescent="0.15">
      <c r="A3" s="2" t="s">
        <v>18</v>
      </c>
      <c r="B3" s="2">
        <v>4</v>
      </c>
      <c r="C3" s="2">
        <v>8</v>
      </c>
      <c r="D3" s="2">
        <v>25</v>
      </c>
      <c r="E3" s="2">
        <v>5</v>
      </c>
      <c r="F3" s="2">
        <v>4</v>
      </c>
      <c r="G3" s="2">
        <v>1</v>
      </c>
      <c r="H3" s="2">
        <v>2.6</v>
      </c>
      <c r="I3" s="2">
        <v>40</v>
      </c>
      <c r="K3" s="2">
        <v>7</v>
      </c>
      <c r="L3" s="2">
        <v>0.01</v>
      </c>
      <c r="M3" s="2">
        <v>26140</v>
      </c>
      <c r="N3" s="2">
        <v>0.30241009946442232</v>
      </c>
      <c r="O3" s="2">
        <v>3.601742157612855</v>
      </c>
      <c r="P3" s="2">
        <v>-25</v>
      </c>
      <c r="Q3" s="2">
        <v>-16196</v>
      </c>
      <c r="R3" s="2">
        <v>94149.540000000066</v>
      </c>
      <c r="S3" s="2">
        <f t="shared" ref="S3:S51" si="0">Q3/R3</f>
        <v>-0.17202420744700386</v>
      </c>
    </row>
    <row r="4" spans="1:19" x14ac:dyDescent="0.15">
      <c r="A4" t="s">
        <v>18</v>
      </c>
      <c r="B4">
        <v>4</v>
      </c>
      <c r="C4">
        <v>20</v>
      </c>
      <c r="D4">
        <v>15</v>
      </c>
      <c r="E4">
        <v>15</v>
      </c>
      <c r="F4">
        <v>3</v>
      </c>
      <c r="G4">
        <v>1</v>
      </c>
      <c r="H4">
        <v>2.2999999999999998</v>
      </c>
      <c r="I4">
        <v>80</v>
      </c>
      <c r="K4">
        <v>7</v>
      </c>
      <c r="L4">
        <v>0.01</v>
      </c>
      <c r="M4">
        <v>29555</v>
      </c>
      <c r="N4">
        <v>0.32908137371003221</v>
      </c>
      <c r="O4">
        <v>3.101746574183724</v>
      </c>
      <c r="P4">
        <v>-10</v>
      </c>
      <c r="Q4">
        <v>-24187</v>
      </c>
      <c r="R4">
        <v>91672.12</v>
      </c>
      <c r="S4">
        <f t="shared" si="0"/>
        <v>-0.26384248558885737</v>
      </c>
    </row>
    <row r="5" spans="1:19" x14ac:dyDescent="0.15">
      <c r="A5" t="s">
        <v>18</v>
      </c>
      <c r="B5">
        <v>4</v>
      </c>
      <c r="C5">
        <v>25</v>
      </c>
      <c r="D5">
        <v>15</v>
      </c>
      <c r="E5">
        <v>10</v>
      </c>
      <c r="F5">
        <v>3.2</v>
      </c>
      <c r="G5">
        <v>1</v>
      </c>
      <c r="H5">
        <v>2.1</v>
      </c>
      <c r="I5">
        <v>60</v>
      </c>
      <c r="K5">
        <v>5</v>
      </c>
      <c r="L5">
        <v>0.01</v>
      </c>
      <c r="M5">
        <v>34388</v>
      </c>
      <c r="N5">
        <v>0.32235082005350701</v>
      </c>
      <c r="O5">
        <v>2.56845062231011</v>
      </c>
      <c r="P5">
        <v>-10</v>
      </c>
      <c r="Q5">
        <v>-24205</v>
      </c>
      <c r="R5">
        <v>88323.88</v>
      </c>
      <c r="S5">
        <f t="shared" si="0"/>
        <v>-0.27404819625224797</v>
      </c>
    </row>
    <row r="6" spans="1:19" x14ac:dyDescent="0.15">
      <c r="A6" t="s">
        <v>18</v>
      </c>
      <c r="B6">
        <v>4</v>
      </c>
      <c r="C6">
        <v>23</v>
      </c>
      <c r="D6">
        <v>20</v>
      </c>
      <c r="E6">
        <v>5</v>
      </c>
      <c r="F6">
        <v>3.6</v>
      </c>
      <c r="G6">
        <v>1</v>
      </c>
      <c r="H6">
        <v>2.2000000000000002</v>
      </c>
      <c r="I6">
        <v>40</v>
      </c>
      <c r="K6">
        <v>4</v>
      </c>
      <c r="L6">
        <v>0.01</v>
      </c>
      <c r="M6">
        <v>33352</v>
      </c>
      <c r="N6">
        <v>0.30765771168145839</v>
      </c>
      <c r="O6">
        <v>2.6136426601103402</v>
      </c>
      <c r="P6">
        <v>-15</v>
      </c>
      <c r="Q6">
        <v>-20239</v>
      </c>
      <c r="R6">
        <v>87170.210000000079</v>
      </c>
      <c r="S6">
        <f t="shared" si="0"/>
        <v>-0.23217794244157472</v>
      </c>
    </row>
    <row r="7" spans="1:19" x14ac:dyDescent="0.15">
      <c r="A7" t="s">
        <v>18</v>
      </c>
      <c r="B7">
        <v>4</v>
      </c>
      <c r="C7">
        <v>0</v>
      </c>
      <c r="D7">
        <v>15</v>
      </c>
      <c r="E7">
        <v>5</v>
      </c>
      <c r="F7">
        <v>3.4</v>
      </c>
      <c r="G7">
        <v>1</v>
      </c>
      <c r="H7">
        <v>2.2999999999999998</v>
      </c>
      <c r="I7">
        <v>60</v>
      </c>
      <c r="K7">
        <v>5</v>
      </c>
      <c r="L7">
        <v>0.01</v>
      </c>
      <c r="M7">
        <v>31933</v>
      </c>
      <c r="N7">
        <v>0.31804089813046071</v>
      </c>
      <c r="O7">
        <v>2.5832408480255551</v>
      </c>
      <c r="P7">
        <v>-11</v>
      </c>
      <c r="Q7">
        <v>-26544</v>
      </c>
      <c r="R7">
        <v>82490.630000000208</v>
      </c>
      <c r="S7">
        <f t="shared" si="0"/>
        <v>-0.32178200118001199</v>
      </c>
    </row>
    <row r="8" spans="1:19" x14ac:dyDescent="0.15">
      <c r="A8" t="s">
        <v>18</v>
      </c>
      <c r="B8">
        <v>4</v>
      </c>
      <c r="C8">
        <v>7</v>
      </c>
      <c r="D8">
        <v>15</v>
      </c>
      <c r="E8">
        <v>10</v>
      </c>
      <c r="F8">
        <v>2.6</v>
      </c>
      <c r="G8">
        <v>1</v>
      </c>
      <c r="H8">
        <v>2.2000000000000002</v>
      </c>
      <c r="I8">
        <v>40</v>
      </c>
      <c r="K8">
        <v>5</v>
      </c>
      <c r="L8">
        <v>0.01</v>
      </c>
      <c r="M8">
        <v>33193</v>
      </c>
      <c r="N8">
        <v>0.30485343295273098</v>
      </c>
      <c r="O8">
        <v>2.4205455969632181</v>
      </c>
      <c r="P8">
        <v>-15</v>
      </c>
      <c r="Q8">
        <v>-25004</v>
      </c>
      <c r="R8">
        <v>80345.170000000246</v>
      </c>
      <c r="S8">
        <f t="shared" si="0"/>
        <v>-0.31120725738709526</v>
      </c>
    </row>
    <row r="9" spans="1:19" x14ac:dyDescent="0.15">
      <c r="A9" t="s">
        <v>18</v>
      </c>
      <c r="B9">
        <v>4</v>
      </c>
      <c r="C9">
        <v>17</v>
      </c>
      <c r="D9">
        <v>25</v>
      </c>
      <c r="E9">
        <v>5</v>
      </c>
      <c r="F9">
        <v>4</v>
      </c>
      <c r="G9">
        <v>1</v>
      </c>
      <c r="H9">
        <v>2.6</v>
      </c>
      <c r="I9">
        <v>60</v>
      </c>
      <c r="K9">
        <v>7</v>
      </c>
      <c r="L9">
        <v>0.01</v>
      </c>
      <c r="M9">
        <v>26137</v>
      </c>
      <c r="N9">
        <v>0.32134521942074462</v>
      </c>
      <c r="O9">
        <v>2.93544362398133</v>
      </c>
      <c r="P9">
        <v>-13</v>
      </c>
      <c r="Q9">
        <v>-19311</v>
      </c>
      <c r="R9">
        <v>76723.690000000031</v>
      </c>
      <c r="S9">
        <f t="shared" si="0"/>
        <v>-0.25169540203293134</v>
      </c>
    </row>
    <row r="10" spans="1:19" x14ac:dyDescent="0.15">
      <c r="A10" t="s">
        <v>18</v>
      </c>
      <c r="B10">
        <v>4</v>
      </c>
      <c r="C10">
        <v>26</v>
      </c>
      <c r="D10">
        <v>15</v>
      </c>
      <c r="E10">
        <v>5</v>
      </c>
      <c r="F10">
        <v>3.2</v>
      </c>
      <c r="G10">
        <v>1</v>
      </c>
      <c r="H10">
        <v>2.1</v>
      </c>
      <c r="I10">
        <v>60</v>
      </c>
      <c r="K10">
        <v>4</v>
      </c>
      <c r="L10">
        <v>0.01</v>
      </c>
      <c r="M10">
        <v>36393</v>
      </c>
      <c r="N10">
        <v>0.31888000439644992</v>
      </c>
      <c r="O10">
        <v>2.0872788723106108</v>
      </c>
      <c r="P10">
        <v>-10</v>
      </c>
      <c r="Q10">
        <v>-25332</v>
      </c>
      <c r="R10">
        <v>75962.340000000055</v>
      </c>
      <c r="S10">
        <f t="shared" si="0"/>
        <v>-0.33348103810388124</v>
      </c>
    </row>
    <row r="11" spans="1:19" x14ac:dyDescent="0.15">
      <c r="A11" t="s">
        <v>18</v>
      </c>
      <c r="B11">
        <v>4</v>
      </c>
      <c r="C11">
        <v>46</v>
      </c>
      <c r="D11">
        <v>15</v>
      </c>
      <c r="E11">
        <v>25</v>
      </c>
      <c r="F11">
        <v>3.8</v>
      </c>
      <c r="G11">
        <v>1</v>
      </c>
      <c r="H11">
        <v>2.6</v>
      </c>
      <c r="I11">
        <v>100</v>
      </c>
      <c r="K11">
        <v>10</v>
      </c>
      <c r="L11">
        <v>0.01</v>
      </c>
      <c r="M11">
        <v>23184</v>
      </c>
      <c r="N11">
        <v>0.33376466528640442</v>
      </c>
      <c r="O11">
        <v>3.2591520013802651</v>
      </c>
      <c r="P11">
        <v>-10</v>
      </c>
      <c r="Q11">
        <v>-28099</v>
      </c>
      <c r="R11">
        <v>75560.18000000008</v>
      </c>
      <c r="S11">
        <f t="shared" si="0"/>
        <v>-0.37187576842723202</v>
      </c>
    </row>
    <row r="12" spans="1:19" x14ac:dyDescent="0.15">
      <c r="A12" t="s">
        <v>18</v>
      </c>
      <c r="B12">
        <v>4</v>
      </c>
      <c r="C12">
        <v>2</v>
      </c>
      <c r="D12">
        <v>15</v>
      </c>
      <c r="E12">
        <v>5</v>
      </c>
      <c r="F12">
        <v>3.6</v>
      </c>
      <c r="G12">
        <v>1</v>
      </c>
      <c r="H12">
        <v>2.2999999999999998</v>
      </c>
      <c r="I12">
        <v>100</v>
      </c>
      <c r="K12">
        <v>5</v>
      </c>
      <c r="L12">
        <v>0.01</v>
      </c>
      <c r="M12">
        <v>31676</v>
      </c>
      <c r="N12">
        <v>0.32535673696173761</v>
      </c>
      <c r="O12">
        <v>2.3799128677863379</v>
      </c>
      <c r="P12">
        <v>-10</v>
      </c>
      <c r="Q12">
        <v>-26305</v>
      </c>
      <c r="R12">
        <v>75386.120000000112</v>
      </c>
      <c r="S12">
        <f t="shared" si="0"/>
        <v>-0.34893691305508179</v>
      </c>
    </row>
    <row r="13" spans="1:19" x14ac:dyDescent="0.15">
      <c r="A13" t="s">
        <v>18</v>
      </c>
      <c r="B13">
        <v>4</v>
      </c>
      <c r="C13">
        <v>12</v>
      </c>
      <c r="D13">
        <v>20</v>
      </c>
      <c r="E13">
        <v>5</v>
      </c>
      <c r="F13">
        <v>3.2</v>
      </c>
      <c r="G13">
        <v>1</v>
      </c>
      <c r="H13">
        <v>2.2999999999999998</v>
      </c>
      <c r="I13">
        <v>40</v>
      </c>
      <c r="K13">
        <v>4</v>
      </c>
      <c r="L13">
        <v>0.01</v>
      </c>
      <c r="M13">
        <v>31884</v>
      </c>
      <c r="N13">
        <v>0.30338100614728392</v>
      </c>
      <c r="O13">
        <v>2.300280077781963</v>
      </c>
      <c r="P13">
        <v>-15</v>
      </c>
      <c r="Q13">
        <v>-22664</v>
      </c>
      <c r="R13">
        <v>73342.13000000015</v>
      </c>
      <c r="S13">
        <f t="shared" si="0"/>
        <v>-0.30901747740350538</v>
      </c>
    </row>
    <row r="14" spans="1:19" x14ac:dyDescent="0.15">
      <c r="A14" t="s">
        <v>18</v>
      </c>
      <c r="B14">
        <v>4</v>
      </c>
      <c r="C14">
        <v>3</v>
      </c>
      <c r="D14">
        <v>20</v>
      </c>
      <c r="E14">
        <v>10</v>
      </c>
      <c r="F14">
        <v>2.2000000000000002</v>
      </c>
      <c r="G14">
        <v>1</v>
      </c>
      <c r="H14">
        <v>2.2999999999999998</v>
      </c>
      <c r="I14">
        <v>40</v>
      </c>
      <c r="K14">
        <v>5</v>
      </c>
      <c r="L14">
        <v>0.01</v>
      </c>
      <c r="M14">
        <v>31813</v>
      </c>
      <c r="N14">
        <v>0.30396378838839472</v>
      </c>
      <c r="O14">
        <v>2.2327300160311849</v>
      </c>
      <c r="P14">
        <v>-15</v>
      </c>
      <c r="Q14">
        <v>-22440</v>
      </c>
      <c r="R14">
        <v>71029.840000000229</v>
      </c>
      <c r="S14">
        <f t="shared" si="0"/>
        <v>-0.3159235611399368</v>
      </c>
    </row>
    <row r="15" spans="1:19" x14ac:dyDescent="0.15">
      <c r="A15" t="s">
        <v>18</v>
      </c>
      <c r="B15">
        <v>4</v>
      </c>
      <c r="C15">
        <v>5</v>
      </c>
      <c r="D15">
        <v>15</v>
      </c>
      <c r="E15">
        <v>5</v>
      </c>
      <c r="F15">
        <v>3.4</v>
      </c>
      <c r="G15">
        <v>1</v>
      </c>
      <c r="H15">
        <v>2.2999999999999998</v>
      </c>
      <c r="I15">
        <v>80</v>
      </c>
      <c r="K15">
        <v>10</v>
      </c>
      <c r="L15">
        <v>0.01</v>
      </c>
      <c r="M15">
        <v>32187</v>
      </c>
      <c r="N15">
        <v>0.32245937800975549</v>
      </c>
      <c r="O15">
        <v>2.126944729238514</v>
      </c>
      <c r="P15">
        <v>-10</v>
      </c>
      <c r="Q15">
        <v>-30117</v>
      </c>
      <c r="R15">
        <v>68459.970000000088</v>
      </c>
      <c r="S15">
        <f t="shared" si="0"/>
        <v>-0.4399213146018025</v>
      </c>
    </row>
    <row r="16" spans="1:19" x14ac:dyDescent="0.15">
      <c r="A16" t="s">
        <v>18</v>
      </c>
      <c r="B16">
        <v>4</v>
      </c>
      <c r="C16">
        <v>4</v>
      </c>
      <c r="D16">
        <v>20</v>
      </c>
      <c r="E16">
        <v>10</v>
      </c>
      <c r="F16">
        <v>2.4</v>
      </c>
      <c r="G16">
        <v>1</v>
      </c>
      <c r="H16">
        <v>2.2999999999999998</v>
      </c>
      <c r="I16">
        <v>60</v>
      </c>
      <c r="K16">
        <v>10</v>
      </c>
      <c r="L16">
        <v>0.01</v>
      </c>
      <c r="M16">
        <v>31589</v>
      </c>
      <c r="N16">
        <v>0.3171040552090918</v>
      </c>
      <c r="O16">
        <v>2.0363601253600958</v>
      </c>
      <c r="P16">
        <v>-11</v>
      </c>
      <c r="Q16">
        <v>-22463</v>
      </c>
      <c r="R16">
        <v>64326.580000000053</v>
      </c>
      <c r="S16">
        <f t="shared" si="0"/>
        <v>-0.34920246032044577</v>
      </c>
    </row>
    <row r="17" spans="1:19" x14ac:dyDescent="0.15">
      <c r="A17" t="s">
        <v>18</v>
      </c>
      <c r="B17">
        <v>4</v>
      </c>
      <c r="C17">
        <v>11</v>
      </c>
      <c r="D17">
        <v>20</v>
      </c>
      <c r="E17">
        <v>5</v>
      </c>
      <c r="F17">
        <v>3.8</v>
      </c>
      <c r="G17">
        <v>1</v>
      </c>
      <c r="H17">
        <v>2.5</v>
      </c>
      <c r="I17">
        <v>40</v>
      </c>
      <c r="K17">
        <v>5</v>
      </c>
      <c r="L17">
        <v>0.01</v>
      </c>
      <c r="M17">
        <v>27608</v>
      </c>
      <c r="N17">
        <v>0.29889886989278469</v>
      </c>
      <c r="O17">
        <v>2.2804484207476121</v>
      </c>
      <c r="P17">
        <v>-21</v>
      </c>
      <c r="Q17">
        <v>-18840</v>
      </c>
      <c r="R17">
        <v>62958.620000000068</v>
      </c>
      <c r="S17">
        <f t="shared" si="0"/>
        <v>-0.29924417021847016</v>
      </c>
    </row>
    <row r="18" spans="1:19" x14ac:dyDescent="0.15">
      <c r="A18" t="s">
        <v>18</v>
      </c>
      <c r="B18">
        <v>4</v>
      </c>
      <c r="C18">
        <v>45</v>
      </c>
      <c r="D18">
        <v>25</v>
      </c>
      <c r="E18">
        <v>20</v>
      </c>
      <c r="F18">
        <v>2.6</v>
      </c>
      <c r="G18">
        <v>1</v>
      </c>
      <c r="H18">
        <v>2.5</v>
      </c>
      <c r="I18">
        <v>40</v>
      </c>
      <c r="K18">
        <v>2</v>
      </c>
      <c r="L18">
        <v>0.01</v>
      </c>
      <c r="M18">
        <v>23536</v>
      </c>
      <c r="N18">
        <v>0.30026342624065261</v>
      </c>
      <c r="O18">
        <v>2.4671787899388189</v>
      </c>
      <c r="P18">
        <v>-30</v>
      </c>
      <c r="Q18">
        <v>-20360.67999999996</v>
      </c>
      <c r="R18">
        <v>58067.52000000004</v>
      </c>
      <c r="S18">
        <f t="shared" si="0"/>
        <v>-0.35063801588219967</v>
      </c>
    </row>
    <row r="19" spans="1:19" x14ac:dyDescent="0.15">
      <c r="A19" t="s">
        <v>18</v>
      </c>
      <c r="B19">
        <v>4</v>
      </c>
      <c r="C19">
        <v>19</v>
      </c>
      <c r="D19">
        <v>15</v>
      </c>
      <c r="E19">
        <v>5</v>
      </c>
      <c r="F19">
        <v>3.4</v>
      </c>
      <c r="G19">
        <v>1</v>
      </c>
      <c r="H19">
        <v>2.8</v>
      </c>
      <c r="I19">
        <v>40</v>
      </c>
      <c r="K19">
        <v>2</v>
      </c>
      <c r="L19">
        <v>0.01</v>
      </c>
      <c r="M19">
        <v>22257</v>
      </c>
      <c r="N19">
        <v>0.2919530934088152</v>
      </c>
      <c r="O19">
        <v>2.575965314283148</v>
      </c>
      <c r="P19">
        <v>-28</v>
      </c>
      <c r="Q19">
        <v>-21605</v>
      </c>
      <c r="R19">
        <v>57333.260000000031</v>
      </c>
      <c r="S19">
        <f t="shared" si="0"/>
        <v>-0.3768318773430987</v>
      </c>
    </row>
    <row r="20" spans="1:19" x14ac:dyDescent="0.15">
      <c r="A20" t="s">
        <v>18</v>
      </c>
      <c r="B20">
        <v>4</v>
      </c>
      <c r="C20">
        <v>43</v>
      </c>
      <c r="D20">
        <v>15</v>
      </c>
      <c r="E20">
        <v>10</v>
      </c>
      <c r="F20">
        <v>3</v>
      </c>
      <c r="G20">
        <v>1</v>
      </c>
      <c r="H20">
        <v>2.8</v>
      </c>
      <c r="I20">
        <v>60</v>
      </c>
      <c r="K20">
        <v>5</v>
      </c>
      <c r="L20">
        <v>0.01</v>
      </c>
      <c r="M20">
        <v>22870</v>
      </c>
      <c r="N20">
        <v>0.31770878880629638</v>
      </c>
      <c r="O20">
        <v>2.4642514210756441</v>
      </c>
      <c r="P20">
        <v>-15</v>
      </c>
      <c r="Q20">
        <v>-21583</v>
      </c>
      <c r="R20">
        <v>56357.429999999978</v>
      </c>
      <c r="S20">
        <f t="shared" si="0"/>
        <v>-0.38296636308646453</v>
      </c>
    </row>
    <row r="21" spans="1:19" x14ac:dyDescent="0.15">
      <c r="A21" t="s">
        <v>18</v>
      </c>
      <c r="B21">
        <v>4</v>
      </c>
      <c r="C21">
        <v>6</v>
      </c>
      <c r="D21">
        <v>10</v>
      </c>
      <c r="E21">
        <v>10</v>
      </c>
      <c r="F21">
        <v>2.4</v>
      </c>
      <c r="G21">
        <v>1</v>
      </c>
      <c r="H21">
        <v>2.6</v>
      </c>
      <c r="I21">
        <v>80</v>
      </c>
      <c r="K21">
        <v>5</v>
      </c>
      <c r="L21">
        <v>0.01</v>
      </c>
      <c r="M21">
        <v>26555</v>
      </c>
      <c r="N21">
        <v>0.32204857842214268</v>
      </c>
      <c r="O21">
        <v>2.0938294106571291</v>
      </c>
      <c r="P21">
        <v>-12</v>
      </c>
      <c r="Q21">
        <v>-22913</v>
      </c>
      <c r="R21">
        <v>55601.640000000058</v>
      </c>
      <c r="S21">
        <f t="shared" si="0"/>
        <v>-0.41209216131034943</v>
      </c>
    </row>
    <row r="22" spans="1:19" x14ac:dyDescent="0.15">
      <c r="A22" t="s">
        <v>18</v>
      </c>
      <c r="B22">
        <v>4</v>
      </c>
      <c r="C22">
        <v>44</v>
      </c>
      <c r="D22">
        <v>15</v>
      </c>
      <c r="E22">
        <v>10</v>
      </c>
      <c r="F22">
        <v>3</v>
      </c>
      <c r="G22">
        <v>1</v>
      </c>
      <c r="H22">
        <v>2.8</v>
      </c>
      <c r="I22">
        <v>60</v>
      </c>
      <c r="K22">
        <v>7</v>
      </c>
      <c r="L22">
        <v>0.01</v>
      </c>
      <c r="M22">
        <v>22970</v>
      </c>
      <c r="N22">
        <v>0.31750108837614283</v>
      </c>
      <c r="O22">
        <v>2.38686242925555</v>
      </c>
      <c r="P22">
        <v>-15</v>
      </c>
      <c r="Q22">
        <v>-21883</v>
      </c>
      <c r="R22">
        <v>54826.229999999967</v>
      </c>
      <c r="S22">
        <f t="shared" si="0"/>
        <v>-0.39913377228381403</v>
      </c>
    </row>
    <row r="23" spans="1:19" x14ac:dyDescent="0.15">
      <c r="A23" t="s">
        <v>18</v>
      </c>
      <c r="B23">
        <v>4</v>
      </c>
      <c r="C23">
        <v>24</v>
      </c>
      <c r="D23">
        <v>20</v>
      </c>
      <c r="E23">
        <v>15</v>
      </c>
      <c r="F23">
        <v>3.4</v>
      </c>
      <c r="G23">
        <v>1</v>
      </c>
      <c r="H23">
        <v>2.2999999999999998</v>
      </c>
      <c r="I23">
        <v>100</v>
      </c>
      <c r="K23">
        <v>10</v>
      </c>
      <c r="L23">
        <v>0.01</v>
      </c>
      <c r="M23">
        <v>29146</v>
      </c>
      <c r="N23">
        <v>0.32783229259589652</v>
      </c>
      <c r="O23">
        <v>1.8449348109517589</v>
      </c>
      <c r="P23">
        <v>-10</v>
      </c>
      <c r="Q23">
        <v>-36479.779999999941</v>
      </c>
      <c r="R23">
        <v>53772.469999999958</v>
      </c>
      <c r="S23">
        <f t="shared" si="0"/>
        <v>-0.67840997447206663</v>
      </c>
    </row>
    <row r="24" spans="1:19" x14ac:dyDescent="0.15">
      <c r="A24" t="s">
        <v>18</v>
      </c>
      <c r="B24">
        <v>4</v>
      </c>
      <c r="C24">
        <v>38</v>
      </c>
      <c r="D24">
        <v>20</v>
      </c>
      <c r="E24">
        <v>5</v>
      </c>
      <c r="F24">
        <v>3.6</v>
      </c>
      <c r="G24">
        <v>1</v>
      </c>
      <c r="H24">
        <v>2.9</v>
      </c>
      <c r="I24">
        <v>80</v>
      </c>
      <c r="K24">
        <v>7</v>
      </c>
      <c r="L24">
        <v>0.01</v>
      </c>
      <c r="M24">
        <v>22479</v>
      </c>
      <c r="N24">
        <v>0.32154455269362509</v>
      </c>
      <c r="O24">
        <v>2.3725962008986201</v>
      </c>
      <c r="P24">
        <v>-15</v>
      </c>
      <c r="Q24">
        <v>-25879</v>
      </c>
      <c r="R24">
        <v>53333.590000000069</v>
      </c>
      <c r="S24">
        <f t="shared" si="0"/>
        <v>-0.48522891483584674</v>
      </c>
    </row>
    <row r="25" spans="1:19" x14ac:dyDescent="0.15">
      <c r="A25" t="s">
        <v>18</v>
      </c>
      <c r="B25">
        <v>4</v>
      </c>
      <c r="C25">
        <v>10</v>
      </c>
      <c r="D25">
        <v>25</v>
      </c>
      <c r="E25">
        <v>10</v>
      </c>
      <c r="F25">
        <v>2.6</v>
      </c>
      <c r="G25">
        <v>1</v>
      </c>
      <c r="H25">
        <v>2.5</v>
      </c>
      <c r="I25">
        <v>40</v>
      </c>
      <c r="K25">
        <v>2</v>
      </c>
      <c r="L25">
        <v>0.01</v>
      </c>
      <c r="M25">
        <v>25134</v>
      </c>
      <c r="N25">
        <v>0.30114585820004769</v>
      </c>
      <c r="O25">
        <v>2.0284471234184802</v>
      </c>
      <c r="P25">
        <v>-23</v>
      </c>
      <c r="Q25">
        <v>-17553</v>
      </c>
      <c r="R25">
        <v>50982.990000000071</v>
      </c>
      <c r="S25">
        <f t="shared" si="0"/>
        <v>-0.34429130186362111</v>
      </c>
    </row>
    <row r="26" spans="1:19" x14ac:dyDescent="0.15">
      <c r="A26" t="s">
        <v>18</v>
      </c>
      <c r="B26">
        <v>4</v>
      </c>
      <c r="C26">
        <v>29</v>
      </c>
      <c r="D26">
        <v>10</v>
      </c>
      <c r="E26">
        <v>5</v>
      </c>
      <c r="F26">
        <v>3.8</v>
      </c>
      <c r="G26">
        <v>1</v>
      </c>
      <c r="H26">
        <v>2.4</v>
      </c>
      <c r="I26">
        <v>40</v>
      </c>
      <c r="K26">
        <v>5</v>
      </c>
      <c r="L26">
        <v>0.01</v>
      </c>
      <c r="M26">
        <v>29727</v>
      </c>
      <c r="N26">
        <v>0.29804554781848153</v>
      </c>
      <c r="O26">
        <v>1.7065644027315261</v>
      </c>
      <c r="P26">
        <v>-18</v>
      </c>
      <c r="Q26">
        <v>-21501.679999999971</v>
      </c>
      <c r="R26">
        <v>50731.040000000074</v>
      </c>
      <c r="S26">
        <f t="shared" si="0"/>
        <v>-0.42383676739132375</v>
      </c>
    </row>
    <row r="27" spans="1:19" x14ac:dyDescent="0.15">
      <c r="A27" t="s">
        <v>18</v>
      </c>
      <c r="B27">
        <v>4</v>
      </c>
      <c r="C27">
        <v>30</v>
      </c>
      <c r="D27">
        <v>10</v>
      </c>
      <c r="E27">
        <v>10</v>
      </c>
      <c r="F27">
        <v>2.6</v>
      </c>
      <c r="G27">
        <v>1</v>
      </c>
      <c r="H27">
        <v>2.5</v>
      </c>
      <c r="I27">
        <v>40</v>
      </c>
      <c r="K27">
        <v>2</v>
      </c>
      <c r="L27">
        <v>0.01</v>
      </c>
      <c r="M27">
        <v>25360</v>
      </c>
      <c r="N27">
        <v>0.29759463722397478</v>
      </c>
      <c r="O27">
        <v>1.89108399053628</v>
      </c>
      <c r="P27">
        <v>-22</v>
      </c>
      <c r="Q27">
        <v>-15017.359999999961</v>
      </c>
      <c r="R27">
        <v>47957.890000000058</v>
      </c>
      <c r="S27">
        <f t="shared" si="0"/>
        <v>-0.31313637860214333</v>
      </c>
    </row>
    <row r="28" spans="1:19" x14ac:dyDescent="0.15">
      <c r="A28" t="s">
        <v>18</v>
      </c>
      <c r="B28">
        <v>4</v>
      </c>
      <c r="C28">
        <v>39</v>
      </c>
      <c r="D28">
        <v>20</v>
      </c>
      <c r="E28">
        <v>5</v>
      </c>
      <c r="F28">
        <v>2.6</v>
      </c>
      <c r="G28">
        <v>1</v>
      </c>
      <c r="H28">
        <v>2.2999999999999998</v>
      </c>
      <c r="I28">
        <v>60</v>
      </c>
      <c r="K28">
        <v>7</v>
      </c>
      <c r="L28">
        <v>0.01</v>
      </c>
      <c r="M28">
        <v>32995</v>
      </c>
      <c r="N28">
        <v>0.31956357023791482</v>
      </c>
      <c r="O28">
        <v>1.394693135323537</v>
      </c>
      <c r="P28">
        <v>-11</v>
      </c>
      <c r="Q28">
        <v>-23082.939999999951</v>
      </c>
      <c r="R28">
        <v>46017.900000000103</v>
      </c>
      <c r="S28">
        <f t="shared" si="0"/>
        <v>-0.50160785259648744</v>
      </c>
    </row>
    <row r="29" spans="1:19" x14ac:dyDescent="0.15">
      <c r="A29" t="s">
        <v>18</v>
      </c>
      <c r="B29">
        <v>4</v>
      </c>
      <c r="C29">
        <v>32</v>
      </c>
      <c r="D29">
        <v>25</v>
      </c>
      <c r="E29">
        <v>15</v>
      </c>
      <c r="F29">
        <v>3.2</v>
      </c>
      <c r="G29">
        <v>1</v>
      </c>
      <c r="H29">
        <v>2.4</v>
      </c>
      <c r="I29">
        <v>40</v>
      </c>
      <c r="K29">
        <v>7</v>
      </c>
      <c r="L29">
        <v>0.01</v>
      </c>
      <c r="M29">
        <v>27496</v>
      </c>
      <c r="N29">
        <v>0.29927989525749199</v>
      </c>
      <c r="O29">
        <v>1.6467838958393961</v>
      </c>
      <c r="P29">
        <v>-20</v>
      </c>
      <c r="Q29">
        <v>-19772</v>
      </c>
      <c r="R29">
        <v>45279.970000000038</v>
      </c>
      <c r="S29">
        <f t="shared" si="0"/>
        <v>-0.43666106669240246</v>
      </c>
    </row>
    <row r="30" spans="1:19" x14ac:dyDescent="0.15">
      <c r="A30" t="s">
        <v>18</v>
      </c>
      <c r="B30">
        <v>4</v>
      </c>
      <c r="C30">
        <v>27</v>
      </c>
      <c r="D30">
        <v>15</v>
      </c>
      <c r="E30">
        <v>5</v>
      </c>
      <c r="F30">
        <v>4</v>
      </c>
      <c r="G30">
        <v>1</v>
      </c>
      <c r="H30">
        <v>2.5</v>
      </c>
      <c r="I30">
        <v>40</v>
      </c>
      <c r="K30">
        <v>2</v>
      </c>
      <c r="L30">
        <v>0.01</v>
      </c>
      <c r="M30">
        <v>25304</v>
      </c>
      <c r="N30">
        <v>0.29647486563389192</v>
      </c>
      <c r="O30">
        <v>1.6748632627252631</v>
      </c>
      <c r="P30">
        <v>-23</v>
      </c>
      <c r="Q30">
        <v>-21506.579999999929</v>
      </c>
      <c r="R30">
        <v>42380.740000000063</v>
      </c>
      <c r="S30">
        <f t="shared" si="0"/>
        <v>-0.50746117222115272</v>
      </c>
    </row>
    <row r="31" spans="1:19" x14ac:dyDescent="0.15">
      <c r="A31" t="s">
        <v>18</v>
      </c>
      <c r="B31">
        <v>4</v>
      </c>
      <c r="C31">
        <v>14</v>
      </c>
      <c r="D31">
        <v>10</v>
      </c>
      <c r="E31">
        <v>10</v>
      </c>
      <c r="F31">
        <v>2.4</v>
      </c>
      <c r="G31">
        <v>1</v>
      </c>
      <c r="H31">
        <v>2.2999999999999998</v>
      </c>
      <c r="I31">
        <v>100</v>
      </c>
      <c r="K31">
        <v>4</v>
      </c>
      <c r="L31">
        <v>0.01</v>
      </c>
      <c r="M31">
        <v>31329</v>
      </c>
      <c r="N31">
        <v>0.32653452073159062</v>
      </c>
      <c r="O31">
        <v>1.342545245619077</v>
      </c>
      <c r="P31">
        <v>-10</v>
      </c>
      <c r="Q31">
        <v>-33226</v>
      </c>
      <c r="R31">
        <v>42060.600000000049</v>
      </c>
      <c r="S31">
        <f t="shared" si="0"/>
        <v>-0.78995544523853589</v>
      </c>
    </row>
    <row r="32" spans="1:19" x14ac:dyDescent="0.15">
      <c r="A32" t="s">
        <v>18</v>
      </c>
      <c r="B32">
        <v>4</v>
      </c>
      <c r="C32">
        <v>13</v>
      </c>
      <c r="D32">
        <v>20</v>
      </c>
      <c r="E32">
        <v>10</v>
      </c>
      <c r="F32">
        <v>2.4</v>
      </c>
      <c r="G32">
        <v>1</v>
      </c>
      <c r="H32">
        <v>2.4</v>
      </c>
      <c r="I32">
        <v>80</v>
      </c>
      <c r="K32">
        <v>4</v>
      </c>
      <c r="L32">
        <v>0.01</v>
      </c>
      <c r="M32">
        <v>29108</v>
      </c>
      <c r="N32">
        <v>0.32386285557235123</v>
      </c>
      <c r="O32">
        <v>1.4222890614264161</v>
      </c>
      <c r="P32">
        <v>-10</v>
      </c>
      <c r="Q32">
        <v>-29404</v>
      </c>
      <c r="R32">
        <v>41399.990000000107</v>
      </c>
      <c r="S32">
        <f t="shared" si="0"/>
        <v>-0.71024171744968834</v>
      </c>
    </row>
    <row r="33" spans="1:19" x14ac:dyDescent="0.15">
      <c r="A33" t="s">
        <v>18</v>
      </c>
      <c r="B33">
        <v>4</v>
      </c>
      <c r="C33">
        <v>18</v>
      </c>
      <c r="D33">
        <v>20</v>
      </c>
      <c r="E33">
        <v>5</v>
      </c>
      <c r="F33">
        <v>2.6</v>
      </c>
      <c r="G33">
        <v>1</v>
      </c>
      <c r="H33">
        <v>2.4</v>
      </c>
      <c r="I33">
        <v>40</v>
      </c>
      <c r="K33">
        <v>2</v>
      </c>
      <c r="L33">
        <v>0.01</v>
      </c>
      <c r="M33">
        <v>28477</v>
      </c>
      <c r="N33">
        <v>0.30898619938898059</v>
      </c>
      <c r="O33">
        <v>1.4194799311725279</v>
      </c>
      <c r="P33">
        <v>-16</v>
      </c>
      <c r="Q33">
        <v>-18472</v>
      </c>
      <c r="R33">
        <v>40422.530000000072</v>
      </c>
      <c r="S33">
        <f t="shared" si="0"/>
        <v>-0.45697288121253093</v>
      </c>
    </row>
    <row r="34" spans="1:19" x14ac:dyDescent="0.15">
      <c r="A34" t="s">
        <v>18</v>
      </c>
      <c r="B34">
        <v>4</v>
      </c>
      <c r="C34">
        <v>28</v>
      </c>
      <c r="D34">
        <v>15</v>
      </c>
      <c r="E34">
        <v>5</v>
      </c>
      <c r="F34">
        <v>3</v>
      </c>
      <c r="G34">
        <v>1</v>
      </c>
      <c r="H34">
        <v>2.2000000000000002</v>
      </c>
      <c r="I34">
        <v>80</v>
      </c>
      <c r="K34">
        <v>10</v>
      </c>
      <c r="L34">
        <v>0.01</v>
      </c>
      <c r="M34">
        <v>35059</v>
      </c>
      <c r="N34">
        <v>0.32020308622607602</v>
      </c>
      <c r="O34">
        <v>1.147583502096468</v>
      </c>
      <c r="P34">
        <v>-10</v>
      </c>
      <c r="Q34">
        <v>-28857</v>
      </c>
      <c r="R34">
        <v>40233.13000000007</v>
      </c>
      <c r="S34">
        <f t="shared" si="0"/>
        <v>-0.71724471846957838</v>
      </c>
    </row>
    <row r="35" spans="1:19" x14ac:dyDescent="0.15">
      <c r="A35" t="s">
        <v>18</v>
      </c>
      <c r="B35">
        <v>4</v>
      </c>
      <c r="C35">
        <v>49</v>
      </c>
      <c r="D35">
        <v>25</v>
      </c>
      <c r="E35">
        <v>25</v>
      </c>
      <c r="F35">
        <v>2.2000000000000002</v>
      </c>
      <c r="G35">
        <v>1</v>
      </c>
      <c r="H35">
        <v>2.6</v>
      </c>
      <c r="I35">
        <v>60</v>
      </c>
      <c r="K35">
        <v>5</v>
      </c>
      <c r="L35">
        <v>0.01</v>
      </c>
      <c r="M35">
        <v>24311</v>
      </c>
      <c r="N35">
        <v>0.31804532927481388</v>
      </c>
      <c r="O35">
        <v>1.637773847229649</v>
      </c>
      <c r="P35">
        <v>-13</v>
      </c>
      <c r="Q35">
        <v>-34744.820000000029</v>
      </c>
      <c r="R35">
        <v>39815.920000000013</v>
      </c>
      <c r="S35">
        <f t="shared" si="0"/>
        <v>-0.87263637258664417</v>
      </c>
    </row>
    <row r="36" spans="1:19" x14ac:dyDescent="0.15">
      <c r="A36" t="s">
        <v>18</v>
      </c>
      <c r="B36">
        <v>4</v>
      </c>
      <c r="C36">
        <v>35</v>
      </c>
      <c r="D36">
        <v>5</v>
      </c>
      <c r="E36">
        <v>10</v>
      </c>
      <c r="F36">
        <v>2</v>
      </c>
      <c r="G36">
        <v>1</v>
      </c>
      <c r="H36">
        <v>1.9</v>
      </c>
      <c r="I36">
        <v>40</v>
      </c>
      <c r="K36">
        <v>7</v>
      </c>
      <c r="L36">
        <v>0.01</v>
      </c>
      <c r="M36">
        <v>43768</v>
      </c>
      <c r="N36">
        <v>0.30325808810089561</v>
      </c>
      <c r="O36">
        <v>0.82472468470115445</v>
      </c>
      <c r="P36">
        <v>-11</v>
      </c>
      <c r="Q36">
        <v>-30352</v>
      </c>
      <c r="R36">
        <v>36096.550000000127</v>
      </c>
      <c r="S36">
        <f t="shared" si="0"/>
        <v>-0.84085598208138712</v>
      </c>
    </row>
    <row r="37" spans="1:19" x14ac:dyDescent="0.15">
      <c r="A37" t="s">
        <v>18</v>
      </c>
      <c r="B37">
        <v>4</v>
      </c>
      <c r="C37">
        <v>9</v>
      </c>
      <c r="D37">
        <v>20</v>
      </c>
      <c r="E37">
        <v>10</v>
      </c>
      <c r="F37">
        <v>2.2000000000000002</v>
      </c>
      <c r="G37">
        <v>1</v>
      </c>
      <c r="H37">
        <v>2.2000000000000002</v>
      </c>
      <c r="I37">
        <v>60</v>
      </c>
      <c r="K37">
        <v>4</v>
      </c>
      <c r="L37">
        <v>0.01</v>
      </c>
      <c r="M37">
        <v>33484</v>
      </c>
      <c r="N37">
        <v>0.32012304384183488</v>
      </c>
      <c r="O37">
        <v>1.0096329590252091</v>
      </c>
      <c r="P37">
        <v>-10</v>
      </c>
      <c r="Q37">
        <v>-26770</v>
      </c>
      <c r="R37">
        <v>33806.55000000009</v>
      </c>
      <c r="S37">
        <f t="shared" si="0"/>
        <v>-0.79185838247321683</v>
      </c>
    </row>
    <row r="38" spans="1:19" x14ac:dyDescent="0.15">
      <c r="A38" t="s">
        <v>18</v>
      </c>
      <c r="B38">
        <v>4</v>
      </c>
      <c r="C38">
        <v>47</v>
      </c>
      <c r="D38">
        <v>10</v>
      </c>
      <c r="E38">
        <v>20</v>
      </c>
      <c r="F38">
        <v>2</v>
      </c>
      <c r="G38">
        <v>1</v>
      </c>
      <c r="H38">
        <v>2.6</v>
      </c>
      <c r="I38">
        <v>60</v>
      </c>
      <c r="K38">
        <v>2</v>
      </c>
      <c r="L38">
        <v>0.01</v>
      </c>
      <c r="M38">
        <v>23367</v>
      </c>
      <c r="N38">
        <v>0.31818376342705518</v>
      </c>
      <c r="O38">
        <v>1.2845191937347531</v>
      </c>
      <c r="P38">
        <v>-13</v>
      </c>
      <c r="Q38">
        <v>-18936.670000000009</v>
      </c>
      <c r="R38">
        <v>30015.359999999971</v>
      </c>
      <c r="S38">
        <f t="shared" si="0"/>
        <v>-0.63089931288513701</v>
      </c>
    </row>
    <row r="39" spans="1:19" x14ac:dyDescent="0.15">
      <c r="A39" t="s">
        <v>18</v>
      </c>
      <c r="B39">
        <v>4</v>
      </c>
      <c r="C39">
        <v>1</v>
      </c>
      <c r="D39">
        <v>15</v>
      </c>
      <c r="E39">
        <v>10</v>
      </c>
      <c r="F39">
        <v>2.4</v>
      </c>
      <c r="G39">
        <v>1</v>
      </c>
      <c r="H39">
        <v>2.4</v>
      </c>
      <c r="I39">
        <v>100</v>
      </c>
      <c r="K39">
        <v>3</v>
      </c>
      <c r="L39">
        <v>0.01</v>
      </c>
      <c r="M39">
        <v>28418</v>
      </c>
      <c r="N39">
        <v>0.32342177493138152</v>
      </c>
      <c r="O39">
        <v>0.97750193539306207</v>
      </c>
      <c r="P39">
        <v>-10</v>
      </c>
      <c r="Q39">
        <v>-33569</v>
      </c>
      <c r="R39">
        <v>27778.650000000041</v>
      </c>
      <c r="S39">
        <f t="shared" si="0"/>
        <v>-1.2084460547938776</v>
      </c>
    </row>
    <row r="40" spans="1:19" x14ac:dyDescent="0.15">
      <c r="A40" t="s">
        <v>18</v>
      </c>
      <c r="B40">
        <v>4</v>
      </c>
      <c r="C40">
        <v>15</v>
      </c>
      <c r="D40">
        <v>15</v>
      </c>
      <c r="E40">
        <v>30</v>
      </c>
      <c r="F40">
        <v>3.6</v>
      </c>
      <c r="G40">
        <v>1</v>
      </c>
      <c r="H40">
        <v>2.6</v>
      </c>
      <c r="I40">
        <v>40</v>
      </c>
      <c r="K40">
        <v>3</v>
      </c>
      <c r="L40">
        <v>0.01</v>
      </c>
      <c r="M40">
        <v>22181</v>
      </c>
      <c r="N40">
        <v>0.29381001758261582</v>
      </c>
      <c r="O40">
        <v>1.197041161354313</v>
      </c>
      <c r="P40">
        <v>-40</v>
      </c>
      <c r="Q40">
        <v>-24191</v>
      </c>
      <c r="R40">
        <v>26551.570000000022</v>
      </c>
      <c r="S40">
        <f t="shared" si="0"/>
        <v>-0.91109489947298716</v>
      </c>
    </row>
    <row r="41" spans="1:19" x14ac:dyDescent="0.15">
      <c r="A41" t="s">
        <v>18</v>
      </c>
      <c r="B41">
        <v>4</v>
      </c>
      <c r="C41">
        <v>16</v>
      </c>
      <c r="D41">
        <v>15</v>
      </c>
      <c r="E41">
        <v>10</v>
      </c>
      <c r="F41">
        <v>2.4</v>
      </c>
      <c r="G41">
        <v>1</v>
      </c>
      <c r="H41">
        <v>2.6</v>
      </c>
      <c r="I41">
        <v>100</v>
      </c>
      <c r="K41">
        <v>2</v>
      </c>
      <c r="L41">
        <v>0.01</v>
      </c>
      <c r="M41">
        <v>24030</v>
      </c>
      <c r="N41">
        <v>0.32892218060757389</v>
      </c>
      <c r="O41">
        <v>0.92323970037453351</v>
      </c>
      <c r="P41">
        <v>-11</v>
      </c>
      <c r="Q41">
        <v>-24026</v>
      </c>
      <c r="R41">
        <v>22185.450000000041</v>
      </c>
      <c r="S41">
        <f t="shared" si="0"/>
        <v>-1.0829620314214927</v>
      </c>
    </row>
    <row r="42" spans="1:19" x14ac:dyDescent="0.15">
      <c r="A42" t="s">
        <v>18</v>
      </c>
      <c r="B42">
        <v>4</v>
      </c>
      <c r="C42">
        <v>40</v>
      </c>
      <c r="D42">
        <v>5</v>
      </c>
      <c r="E42">
        <v>5</v>
      </c>
      <c r="F42">
        <v>2.4</v>
      </c>
      <c r="G42">
        <v>1</v>
      </c>
      <c r="H42">
        <v>3</v>
      </c>
      <c r="I42">
        <v>80</v>
      </c>
      <c r="K42">
        <v>2</v>
      </c>
      <c r="L42">
        <v>0.01</v>
      </c>
      <c r="M42">
        <v>20765</v>
      </c>
      <c r="N42">
        <v>0.31702383818926078</v>
      </c>
      <c r="O42">
        <v>1.0660091500120421</v>
      </c>
      <c r="P42">
        <v>-15</v>
      </c>
      <c r="Q42">
        <v>-21071.379999999961</v>
      </c>
      <c r="R42">
        <v>22135.680000000058</v>
      </c>
      <c r="S42">
        <f t="shared" si="0"/>
        <v>-0.95191925434411351</v>
      </c>
    </row>
    <row r="43" spans="1:19" x14ac:dyDescent="0.15">
      <c r="A43" t="s">
        <v>18</v>
      </c>
      <c r="B43">
        <v>4</v>
      </c>
      <c r="C43">
        <v>34</v>
      </c>
      <c r="D43">
        <v>25</v>
      </c>
      <c r="E43">
        <v>5</v>
      </c>
      <c r="F43">
        <v>3.2</v>
      </c>
      <c r="G43">
        <v>1</v>
      </c>
      <c r="H43">
        <v>2.7</v>
      </c>
      <c r="I43">
        <v>60</v>
      </c>
      <c r="K43">
        <v>4</v>
      </c>
      <c r="L43">
        <v>0.01</v>
      </c>
      <c r="M43">
        <v>24931</v>
      </c>
      <c r="N43">
        <v>0.31374593879106327</v>
      </c>
      <c r="O43">
        <v>0.84870803417432406</v>
      </c>
      <c r="P43">
        <v>-15</v>
      </c>
      <c r="Q43">
        <v>-22411</v>
      </c>
      <c r="R43">
        <v>21159.140000000069</v>
      </c>
      <c r="S43">
        <f t="shared" si="0"/>
        <v>-1.0591640302961238</v>
      </c>
    </row>
    <row r="44" spans="1:19" x14ac:dyDescent="0.15">
      <c r="A44" t="s">
        <v>18</v>
      </c>
      <c r="B44">
        <v>4</v>
      </c>
      <c r="C44">
        <v>48</v>
      </c>
      <c r="D44">
        <v>15</v>
      </c>
      <c r="E44">
        <v>10</v>
      </c>
      <c r="F44">
        <v>2.4</v>
      </c>
      <c r="G44">
        <v>1</v>
      </c>
      <c r="H44">
        <v>1.7</v>
      </c>
      <c r="I44">
        <v>100</v>
      </c>
      <c r="K44">
        <v>5</v>
      </c>
      <c r="L44">
        <v>0.01</v>
      </c>
      <c r="M44">
        <v>47963</v>
      </c>
      <c r="N44">
        <v>0.32199820695119152</v>
      </c>
      <c r="O44">
        <v>0.43153326522527968</v>
      </c>
      <c r="P44">
        <v>-8</v>
      </c>
      <c r="Q44">
        <v>-55560</v>
      </c>
      <c r="R44">
        <v>20697.630000000099</v>
      </c>
      <c r="S44">
        <f t="shared" si="0"/>
        <v>-2.6843653113907116</v>
      </c>
    </row>
    <row r="45" spans="1:19" x14ac:dyDescent="0.15">
      <c r="A45" t="s">
        <v>18</v>
      </c>
      <c r="B45">
        <v>4</v>
      </c>
      <c r="C45">
        <v>31</v>
      </c>
      <c r="D45">
        <v>5</v>
      </c>
      <c r="E45">
        <v>5</v>
      </c>
      <c r="F45">
        <v>2.6</v>
      </c>
      <c r="G45">
        <v>1</v>
      </c>
      <c r="H45">
        <v>1.7</v>
      </c>
      <c r="I45">
        <v>80</v>
      </c>
      <c r="K45">
        <v>7</v>
      </c>
      <c r="L45">
        <v>0.01</v>
      </c>
      <c r="M45">
        <v>52199</v>
      </c>
      <c r="N45">
        <v>0.31544665606620809</v>
      </c>
      <c r="O45">
        <v>0.29363780915343379</v>
      </c>
      <c r="P45">
        <v>-9</v>
      </c>
      <c r="Q45">
        <v>-33452</v>
      </c>
      <c r="R45">
        <v>15327.600000000089</v>
      </c>
      <c r="S45">
        <f t="shared" si="0"/>
        <v>-2.1824682272501765</v>
      </c>
    </row>
    <row r="46" spans="1:19" x14ac:dyDescent="0.15">
      <c r="A46" t="s">
        <v>18</v>
      </c>
      <c r="B46">
        <v>4</v>
      </c>
      <c r="C46">
        <v>21</v>
      </c>
      <c r="D46">
        <v>5</v>
      </c>
      <c r="E46">
        <v>5</v>
      </c>
      <c r="F46">
        <v>2.4</v>
      </c>
      <c r="G46">
        <v>1</v>
      </c>
      <c r="H46">
        <v>1.9</v>
      </c>
      <c r="I46">
        <v>60</v>
      </c>
      <c r="K46">
        <v>4</v>
      </c>
      <c r="L46">
        <v>0.01</v>
      </c>
      <c r="M46">
        <v>44693</v>
      </c>
      <c r="N46">
        <v>0.31078692412682069</v>
      </c>
      <c r="O46">
        <v>0.28333967287942391</v>
      </c>
      <c r="P46">
        <v>-10</v>
      </c>
      <c r="Q46">
        <v>-31289.239999999962</v>
      </c>
      <c r="R46">
        <v>12663.30000000009</v>
      </c>
      <c r="S46">
        <f t="shared" si="0"/>
        <v>-2.4708598864434816</v>
      </c>
    </row>
    <row r="47" spans="1:19" x14ac:dyDescent="0.15">
      <c r="A47" t="s">
        <v>18</v>
      </c>
      <c r="B47">
        <v>4</v>
      </c>
      <c r="C47">
        <v>41</v>
      </c>
      <c r="D47">
        <v>25</v>
      </c>
      <c r="E47">
        <v>5</v>
      </c>
      <c r="F47">
        <v>3.4</v>
      </c>
      <c r="G47">
        <v>1</v>
      </c>
      <c r="H47">
        <v>2.6</v>
      </c>
      <c r="I47">
        <v>80</v>
      </c>
      <c r="K47">
        <v>1</v>
      </c>
      <c r="L47">
        <v>0.01</v>
      </c>
      <c r="M47">
        <v>21344</v>
      </c>
      <c r="N47">
        <v>0.32187031484257872</v>
      </c>
      <c r="O47">
        <v>0.51698931784108026</v>
      </c>
      <c r="P47">
        <v>-12</v>
      </c>
      <c r="Q47">
        <v>-21505</v>
      </c>
      <c r="R47">
        <v>11034.620000000021</v>
      </c>
      <c r="S47">
        <f t="shared" si="0"/>
        <v>-1.9488663859743207</v>
      </c>
    </row>
    <row r="48" spans="1:19" x14ac:dyDescent="0.15">
      <c r="A48" t="s">
        <v>18</v>
      </c>
      <c r="B48">
        <v>4</v>
      </c>
      <c r="C48">
        <v>33</v>
      </c>
      <c r="D48">
        <v>25</v>
      </c>
      <c r="E48">
        <v>10</v>
      </c>
      <c r="F48">
        <v>2.2000000000000002</v>
      </c>
      <c r="G48">
        <v>1</v>
      </c>
      <c r="H48">
        <v>2.7</v>
      </c>
      <c r="I48">
        <v>100</v>
      </c>
      <c r="K48">
        <v>7</v>
      </c>
      <c r="L48">
        <v>0.01</v>
      </c>
      <c r="M48">
        <v>25072</v>
      </c>
      <c r="N48">
        <v>0.32243139757498412</v>
      </c>
      <c r="O48">
        <v>0.29764837268666638</v>
      </c>
      <c r="P48">
        <v>-12</v>
      </c>
      <c r="Q48">
        <v>-33668</v>
      </c>
      <c r="R48">
        <v>7462.6400000001013</v>
      </c>
      <c r="S48">
        <f t="shared" si="0"/>
        <v>-4.511540152010487</v>
      </c>
    </row>
    <row r="49" spans="1:19" x14ac:dyDescent="0.15">
      <c r="A49" t="s">
        <v>18</v>
      </c>
      <c r="B49">
        <v>4</v>
      </c>
      <c r="C49">
        <v>37</v>
      </c>
      <c r="D49">
        <v>25</v>
      </c>
      <c r="E49">
        <v>10</v>
      </c>
      <c r="F49">
        <v>3</v>
      </c>
      <c r="G49">
        <v>1</v>
      </c>
      <c r="H49">
        <v>2.5</v>
      </c>
      <c r="I49">
        <v>100</v>
      </c>
      <c r="K49">
        <v>3</v>
      </c>
      <c r="L49">
        <v>0.01</v>
      </c>
      <c r="M49">
        <v>25750</v>
      </c>
      <c r="N49">
        <v>0.32753398058252431</v>
      </c>
      <c r="O49">
        <v>-0.1590170873786392</v>
      </c>
      <c r="P49">
        <v>-10</v>
      </c>
      <c r="Q49">
        <v>-37022</v>
      </c>
      <c r="R49">
        <v>-4094.6899999999591</v>
      </c>
      <c r="S49">
        <f t="shared" si="0"/>
        <v>9.0414658985174388</v>
      </c>
    </row>
    <row r="50" spans="1:19" x14ac:dyDescent="0.15">
      <c r="A50" t="s">
        <v>18</v>
      </c>
      <c r="B50">
        <v>4</v>
      </c>
      <c r="C50">
        <v>42</v>
      </c>
      <c r="D50">
        <v>25</v>
      </c>
      <c r="E50">
        <v>25</v>
      </c>
      <c r="F50">
        <v>2</v>
      </c>
      <c r="G50">
        <v>1</v>
      </c>
      <c r="H50">
        <v>2.6</v>
      </c>
      <c r="I50">
        <v>100</v>
      </c>
      <c r="K50">
        <v>3</v>
      </c>
      <c r="L50">
        <v>0.01</v>
      </c>
      <c r="M50">
        <v>23833</v>
      </c>
      <c r="N50">
        <v>0.32475978685016571</v>
      </c>
      <c r="O50">
        <v>-0.5032534720765317</v>
      </c>
      <c r="P50">
        <v>-12</v>
      </c>
      <c r="Q50">
        <v>-37893.969999999943</v>
      </c>
      <c r="R50">
        <v>-11994.039999999981</v>
      </c>
      <c r="S50">
        <f t="shared" si="0"/>
        <v>3.1594000020009942</v>
      </c>
    </row>
    <row r="51" spans="1:19" x14ac:dyDescent="0.15">
      <c r="A51" t="s">
        <v>18</v>
      </c>
      <c r="B51">
        <v>4</v>
      </c>
      <c r="C51">
        <v>22</v>
      </c>
      <c r="D51">
        <v>25</v>
      </c>
      <c r="E51">
        <v>10</v>
      </c>
      <c r="F51">
        <v>2.2000000000000002</v>
      </c>
      <c r="G51">
        <v>1</v>
      </c>
      <c r="H51">
        <v>2.5</v>
      </c>
      <c r="I51">
        <v>100</v>
      </c>
      <c r="K51">
        <v>4</v>
      </c>
      <c r="L51">
        <v>0.01</v>
      </c>
      <c r="M51">
        <v>27629</v>
      </c>
      <c r="N51">
        <v>0.32389880198342319</v>
      </c>
      <c r="O51">
        <v>-0.44758623185782548</v>
      </c>
      <c r="P51">
        <v>-11</v>
      </c>
      <c r="Q51">
        <v>-43198</v>
      </c>
      <c r="R51">
        <v>-12366.359999999861</v>
      </c>
      <c r="S51">
        <f t="shared" si="0"/>
        <v>3.4931863539473609</v>
      </c>
    </row>
  </sheetData>
  <phoneticPr fontId="2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C83E5-E45A-4E90-89EB-8DB60EDD3961}">
  <dimension ref="A1:S51"/>
  <sheetViews>
    <sheetView workbookViewId="0">
      <selection activeCell="A3" sqref="A3:S3"/>
    </sheetView>
  </sheetViews>
  <sheetFormatPr defaultRowHeight="13.5" x14ac:dyDescent="0.15"/>
  <sheetData>
    <row r="1" spans="1:1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9" x14ac:dyDescent="0.15">
      <c r="A2" t="s">
        <v>19</v>
      </c>
      <c r="B2">
        <v>4</v>
      </c>
      <c r="C2">
        <v>25</v>
      </c>
      <c r="D2">
        <v>5</v>
      </c>
      <c r="E2">
        <v>25</v>
      </c>
      <c r="F2">
        <v>3.4</v>
      </c>
      <c r="G2">
        <v>1</v>
      </c>
      <c r="H2">
        <v>2.5</v>
      </c>
      <c r="I2">
        <v>0.05</v>
      </c>
      <c r="K2">
        <v>3</v>
      </c>
      <c r="L2">
        <v>0.01</v>
      </c>
      <c r="M2">
        <v>22341</v>
      </c>
      <c r="N2">
        <v>0.25692672664607669</v>
      </c>
      <c r="O2">
        <v>5.0689315608075068E-3</v>
      </c>
      <c r="P2">
        <v>-0.05</v>
      </c>
      <c r="Q2">
        <v>-25.512999999996321</v>
      </c>
      <c r="R2">
        <v>113.2450000000217</v>
      </c>
      <c r="S2">
        <f t="shared" ref="S2:S33" si="0">Q2/R2</f>
        <v>-0.22529029979240967</v>
      </c>
    </row>
    <row r="3" spans="1:19" s="2" customFormat="1" x14ac:dyDescent="0.15">
      <c r="A3" s="2" t="s">
        <v>19</v>
      </c>
      <c r="B3" s="2">
        <v>4</v>
      </c>
      <c r="C3" s="2">
        <v>7</v>
      </c>
      <c r="D3" s="2">
        <v>10</v>
      </c>
      <c r="E3" s="2">
        <v>20</v>
      </c>
      <c r="F3" s="2">
        <v>2.4</v>
      </c>
      <c r="G3" s="2">
        <v>1</v>
      </c>
      <c r="H3" s="2">
        <v>3</v>
      </c>
      <c r="I3" s="2">
        <v>0.03</v>
      </c>
      <c r="K3" s="2">
        <v>5</v>
      </c>
      <c r="L3" s="2">
        <v>0.01</v>
      </c>
      <c r="M3" s="2">
        <v>18088</v>
      </c>
      <c r="N3" s="2">
        <v>0.18199911543564801</v>
      </c>
      <c r="O3" s="2">
        <v>6.0915524104378877E-3</v>
      </c>
      <c r="P3" s="2">
        <v>-0.03</v>
      </c>
      <c r="Q3" s="2">
        <v>-21.89700000000062</v>
      </c>
      <c r="R3" s="2">
        <v>110.18399999998709</v>
      </c>
      <c r="S3" s="2">
        <f t="shared" si="0"/>
        <v>-0.19873121324333101</v>
      </c>
    </row>
    <row r="4" spans="1:19" x14ac:dyDescent="0.15">
      <c r="A4" t="s">
        <v>19</v>
      </c>
      <c r="B4">
        <v>4</v>
      </c>
      <c r="C4">
        <v>48</v>
      </c>
      <c r="D4">
        <v>20</v>
      </c>
      <c r="E4">
        <v>25</v>
      </c>
      <c r="F4">
        <v>3.6</v>
      </c>
      <c r="G4">
        <v>1</v>
      </c>
      <c r="H4">
        <v>1.8</v>
      </c>
      <c r="I4">
        <v>0.05</v>
      </c>
      <c r="K4">
        <v>7</v>
      </c>
      <c r="L4">
        <v>0.01</v>
      </c>
      <c r="M4">
        <v>36626</v>
      </c>
      <c r="N4">
        <v>0.28362365532681699</v>
      </c>
      <c r="O4">
        <v>2.9850652541910318E-3</v>
      </c>
      <c r="P4">
        <v>-0.05</v>
      </c>
      <c r="Q4">
        <v>-40.315999999999079</v>
      </c>
      <c r="R4">
        <v>109.3310000000273</v>
      </c>
      <c r="S4">
        <f t="shared" si="0"/>
        <v>-0.36875177214137811</v>
      </c>
    </row>
    <row r="5" spans="1:19" x14ac:dyDescent="0.15">
      <c r="A5" t="s">
        <v>19</v>
      </c>
      <c r="B5">
        <v>4</v>
      </c>
      <c r="C5">
        <v>18</v>
      </c>
      <c r="D5">
        <v>10</v>
      </c>
      <c r="E5">
        <v>20</v>
      </c>
      <c r="F5">
        <v>3.6</v>
      </c>
      <c r="G5">
        <v>1</v>
      </c>
      <c r="H5">
        <v>2.5</v>
      </c>
      <c r="I5">
        <v>0.03</v>
      </c>
      <c r="K5">
        <v>10</v>
      </c>
      <c r="L5">
        <v>0.01</v>
      </c>
      <c r="M5">
        <v>22836</v>
      </c>
      <c r="N5">
        <v>0.20025398493606589</v>
      </c>
      <c r="O5">
        <v>4.4240672622175223E-3</v>
      </c>
      <c r="P5">
        <v>-0.03</v>
      </c>
      <c r="Q5">
        <v>-29.01300000000592</v>
      </c>
      <c r="R5">
        <v>101.0279999999812</v>
      </c>
      <c r="S5">
        <f t="shared" si="0"/>
        <v>-0.28717781209180937</v>
      </c>
    </row>
    <row r="6" spans="1:19" x14ac:dyDescent="0.15">
      <c r="A6" t="s">
        <v>19</v>
      </c>
      <c r="B6">
        <v>4</v>
      </c>
      <c r="C6">
        <v>44</v>
      </c>
      <c r="D6">
        <v>5</v>
      </c>
      <c r="E6">
        <v>5</v>
      </c>
      <c r="F6">
        <v>2.2000000000000002</v>
      </c>
      <c r="G6">
        <v>1</v>
      </c>
      <c r="H6">
        <v>1.7</v>
      </c>
      <c r="I6">
        <v>0.02</v>
      </c>
      <c r="K6">
        <v>5</v>
      </c>
      <c r="L6">
        <v>0.01</v>
      </c>
      <c r="M6">
        <v>48163</v>
      </c>
      <c r="N6">
        <v>0.1896891804912485</v>
      </c>
      <c r="O6">
        <v>2.0102360733342799E-3</v>
      </c>
      <c r="P6">
        <v>-0.02</v>
      </c>
      <c r="Q6">
        <v>-22.699999999998621</v>
      </c>
      <c r="R6">
        <v>96.819000000012963</v>
      </c>
      <c r="S6">
        <f t="shared" si="0"/>
        <v>-0.2344581125605055</v>
      </c>
    </row>
    <row r="7" spans="1:19" x14ac:dyDescent="0.15">
      <c r="A7" t="s">
        <v>19</v>
      </c>
      <c r="B7">
        <v>4</v>
      </c>
      <c r="C7">
        <v>40</v>
      </c>
      <c r="D7">
        <v>20</v>
      </c>
      <c r="E7">
        <v>25</v>
      </c>
      <c r="F7">
        <v>3.2</v>
      </c>
      <c r="G7">
        <v>1</v>
      </c>
      <c r="H7">
        <v>2.2999999999999998</v>
      </c>
      <c r="I7">
        <v>0.03</v>
      </c>
      <c r="K7">
        <v>5</v>
      </c>
      <c r="L7">
        <v>0.01</v>
      </c>
      <c r="M7">
        <v>25846</v>
      </c>
      <c r="N7">
        <v>0.21059351543759189</v>
      </c>
      <c r="O7">
        <v>3.6350692563645948E-3</v>
      </c>
      <c r="P7">
        <v>-0.03</v>
      </c>
      <c r="Q7">
        <v>-26.22600000000114</v>
      </c>
      <c r="R7">
        <v>93.951999999979748</v>
      </c>
      <c r="S7">
        <f t="shared" si="0"/>
        <v>-0.27914254087200691</v>
      </c>
    </row>
    <row r="8" spans="1:19" x14ac:dyDescent="0.15">
      <c r="A8" t="s">
        <v>19</v>
      </c>
      <c r="B8">
        <v>4</v>
      </c>
      <c r="C8">
        <v>33</v>
      </c>
      <c r="D8">
        <v>20</v>
      </c>
      <c r="E8">
        <v>25</v>
      </c>
      <c r="F8">
        <v>3.2</v>
      </c>
      <c r="G8">
        <v>1</v>
      </c>
      <c r="H8">
        <v>2.5</v>
      </c>
      <c r="I8">
        <v>0.04</v>
      </c>
      <c r="K8">
        <v>2</v>
      </c>
      <c r="L8">
        <v>0.01</v>
      </c>
      <c r="M8">
        <v>21447</v>
      </c>
      <c r="N8">
        <v>0.2362101925677251</v>
      </c>
      <c r="O8">
        <v>4.2761691611880167E-3</v>
      </c>
      <c r="P8">
        <v>-0.04</v>
      </c>
      <c r="Q8">
        <v>-21.30500000000912</v>
      </c>
      <c r="R8">
        <v>91.710999999971904</v>
      </c>
      <c r="S8">
        <f t="shared" si="0"/>
        <v>-0.23230583027134855</v>
      </c>
    </row>
    <row r="9" spans="1:19" x14ac:dyDescent="0.15">
      <c r="A9" t="s">
        <v>19</v>
      </c>
      <c r="B9">
        <v>4</v>
      </c>
      <c r="C9">
        <v>32</v>
      </c>
      <c r="D9">
        <v>10</v>
      </c>
      <c r="E9">
        <v>10</v>
      </c>
      <c r="F9">
        <v>3</v>
      </c>
      <c r="G9">
        <v>1</v>
      </c>
      <c r="H9">
        <v>3</v>
      </c>
      <c r="I9">
        <v>0.03</v>
      </c>
      <c r="K9">
        <v>3</v>
      </c>
      <c r="L9">
        <v>0.01</v>
      </c>
      <c r="M9">
        <v>18476</v>
      </c>
      <c r="N9">
        <v>0.18017969257415031</v>
      </c>
      <c r="O9">
        <v>4.7686728729162296E-3</v>
      </c>
      <c r="P9">
        <v>-0.03</v>
      </c>
      <c r="Q9">
        <v>-32.22099999999952</v>
      </c>
      <c r="R9">
        <v>88.105999999991553</v>
      </c>
      <c r="S9">
        <f t="shared" si="0"/>
        <v>-0.36570721630765907</v>
      </c>
    </row>
    <row r="10" spans="1:19" x14ac:dyDescent="0.15">
      <c r="A10" t="s">
        <v>19</v>
      </c>
      <c r="B10">
        <v>4</v>
      </c>
      <c r="C10">
        <v>23</v>
      </c>
      <c r="D10">
        <v>25</v>
      </c>
      <c r="E10">
        <v>30</v>
      </c>
      <c r="F10">
        <v>4</v>
      </c>
      <c r="G10">
        <v>1</v>
      </c>
      <c r="H10">
        <v>2.6</v>
      </c>
      <c r="I10">
        <v>0.04</v>
      </c>
      <c r="K10">
        <v>7</v>
      </c>
      <c r="L10">
        <v>0.01</v>
      </c>
      <c r="M10">
        <v>20919</v>
      </c>
      <c r="N10">
        <v>0.23155982599550651</v>
      </c>
      <c r="O10">
        <v>3.9584110139108042E-3</v>
      </c>
      <c r="P10">
        <v>-0.04</v>
      </c>
      <c r="Q10">
        <v>-32.85900000000472</v>
      </c>
      <c r="R10">
        <v>82.805999999960136</v>
      </c>
      <c r="S10">
        <f t="shared" si="0"/>
        <v>-0.39681907108205372</v>
      </c>
    </row>
    <row r="11" spans="1:19" x14ac:dyDescent="0.15">
      <c r="A11" t="s">
        <v>19</v>
      </c>
      <c r="B11">
        <v>4</v>
      </c>
      <c r="C11">
        <v>34</v>
      </c>
      <c r="D11">
        <v>25</v>
      </c>
      <c r="E11">
        <v>20</v>
      </c>
      <c r="F11">
        <v>3.4</v>
      </c>
      <c r="G11">
        <v>1</v>
      </c>
      <c r="H11">
        <v>2.7</v>
      </c>
      <c r="I11">
        <v>0.04</v>
      </c>
      <c r="K11">
        <v>5</v>
      </c>
      <c r="L11">
        <v>0.01</v>
      </c>
      <c r="M11">
        <v>20333</v>
      </c>
      <c r="N11">
        <v>0.2280037377661929</v>
      </c>
      <c r="O11">
        <v>3.9783603009885199E-3</v>
      </c>
      <c r="P11">
        <v>-0.04</v>
      </c>
      <c r="Q11">
        <v>-25.90900000002274</v>
      </c>
      <c r="R11">
        <v>80.891999999967453</v>
      </c>
      <c r="S11">
        <f t="shared" si="0"/>
        <v>-0.32029125253465318</v>
      </c>
    </row>
    <row r="12" spans="1:19" x14ac:dyDescent="0.15">
      <c r="A12" t="s">
        <v>19</v>
      </c>
      <c r="B12">
        <v>4</v>
      </c>
      <c r="C12">
        <v>10</v>
      </c>
      <c r="D12">
        <v>25</v>
      </c>
      <c r="E12">
        <v>20</v>
      </c>
      <c r="F12">
        <v>3.2</v>
      </c>
      <c r="G12">
        <v>1</v>
      </c>
      <c r="H12">
        <v>2.7</v>
      </c>
      <c r="I12">
        <v>0.1</v>
      </c>
      <c r="K12">
        <v>1</v>
      </c>
      <c r="L12">
        <v>0.01</v>
      </c>
      <c r="M12">
        <v>16520</v>
      </c>
      <c r="N12">
        <v>0.31507263922518158</v>
      </c>
      <c r="O12">
        <v>4.8504237288135568E-3</v>
      </c>
      <c r="P12">
        <v>-2.199999999999136E-2</v>
      </c>
      <c r="Q12">
        <v>-43.615000000000457</v>
      </c>
      <c r="R12">
        <v>80.129000000007466</v>
      </c>
      <c r="S12">
        <f t="shared" si="0"/>
        <v>-0.5443098004467346</v>
      </c>
    </row>
    <row r="13" spans="1:19" x14ac:dyDescent="0.15">
      <c r="A13" t="s">
        <v>19</v>
      </c>
      <c r="B13">
        <v>4</v>
      </c>
      <c r="C13">
        <v>24</v>
      </c>
      <c r="D13">
        <v>10</v>
      </c>
      <c r="E13">
        <v>5</v>
      </c>
      <c r="F13">
        <v>2</v>
      </c>
      <c r="G13">
        <v>1</v>
      </c>
      <c r="H13">
        <v>1.3</v>
      </c>
      <c r="I13">
        <v>0.02</v>
      </c>
      <c r="K13">
        <v>2</v>
      </c>
      <c r="L13">
        <v>0.01</v>
      </c>
      <c r="M13">
        <v>63635</v>
      </c>
      <c r="N13">
        <v>0.20702443623791941</v>
      </c>
      <c r="O13">
        <v>1.246310992378418E-3</v>
      </c>
      <c r="P13">
        <v>-0.02</v>
      </c>
      <c r="Q13">
        <v>-37.66400000000985</v>
      </c>
      <c r="R13">
        <v>79.309000000013597</v>
      </c>
      <c r="S13">
        <f t="shared" si="0"/>
        <v>-0.47490196572902688</v>
      </c>
    </row>
    <row r="14" spans="1:19" x14ac:dyDescent="0.15">
      <c r="A14" t="s">
        <v>19</v>
      </c>
      <c r="B14">
        <v>4</v>
      </c>
      <c r="C14">
        <v>38</v>
      </c>
      <c r="D14">
        <v>5</v>
      </c>
      <c r="E14">
        <v>30</v>
      </c>
      <c r="F14">
        <v>2.6</v>
      </c>
      <c r="G14">
        <v>1</v>
      </c>
      <c r="H14">
        <v>2.6</v>
      </c>
      <c r="I14">
        <v>0.02</v>
      </c>
      <c r="K14">
        <v>7</v>
      </c>
      <c r="L14">
        <v>0.01</v>
      </c>
      <c r="M14">
        <v>22207</v>
      </c>
      <c r="N14">
        <v>0.14567478722925201</v>
      </c>
      <c r="O14">
        <v>3.414328815238388E-3</v>
      </c>
      <c r="P14">
        <v>-0.02</v>
      </c>
      <c r="Q14">
        <v>-23.169000000001411</v>
      </c>
      <c r="R14">
        <v>75.821999999984783</v>
      </c>
      <c r="S14">
        <f t="shared" si="0"/>
        <v>-0.30557094247060301</v>
      </c>
    </row>
    <row r="15" spans="1:19" x14ac:dyDescent="0.15">
      <c r="A15" t="s">
        <v>19</v>
      </c>
      <c r="B15">
        <v>4</v>
      </c>
      <c r="C15">
        <v>35</v>
      </c>
      <c r="D15">
        <v>15</v>
      </c>
      <c r="E15">
        <v>20</v>
      </c>
      <c r="F15">
        <v>3</v>
      </c>
      <c r="G15">
        <v>1</v>
      </c>
      <c r="H15">
        <v>2.8</v>
      </c>
      <c r="I15">
        <v>0.03</v>
      </c>
      <c r="K15">
        <v>1</v>
      </c>
      <c r="L15">
        <v>0.01</v>
      </c>
      <c r="M15">
        <v>17590</v>
      </c>
      <c r="N15">
        <v>0.18351335986355891</v>
      </c>
      <c r="O15">
        <v>4.2409891984082036E-3</v>
      </c>
      <c r="P15">
        <v>-0.03</v>
      </c>
      <c r="Q15">
        <v>-20.751000000001479</v>
      </c>
      <c r="R15">
        <v>74.59899999998963</v>
      </c>
      <c r="S15">
        <f t="shared" si="0"/>
        <v>-0.27816726765780192</v>
      </c>
    </row>
    <row r="16" spans="1:19" x14ac:dyDescent="0.15">
      <c r="A16" t="s">
        <v>19</v>
      </c>
      <c r="B16">
        <v>4</v>
      </c>
      <c r="C16">
        <v>6</v>
      </c>
      <c r="D16">
        <v>5</v>
      </c>
      <c r="E16">
        <v>30</v>
      </c>
      <c r="F16">
        <v>3.6</v>
      </c>
      <c r="G16">
        <v>1</v>
      </c>
      <c r="H16">
        <v>2.6</v>
      </c>
      <c r="I16">
        <v>0.06</v>
      </c>
      <c r="K16">
        <v>10</v>
      </c>
      <c r="L16">
        <v>0.01</v>
      </c>
      <c r="M16">
        <v>21626</v>
      </c>
      <c r="N16">
        <v>0.27124757236659569</v>
      </c>
      <c r="O16">
        <v>3.4130213631739671E-3</v>
      </c>
      <c r="P16">
        <v>-0.06</v>
      </c>
      <c r="Q16">
        <v>-45.456000000000863</v>
      </c>
      <c r="R16">
        <v>73.809999999985266</v>
      </c>
      <c r="S16">
        <f t="shared" si="0"/>
        <v>-0.61585151063554988</v>
      </c>
    </row>
    <row r="17" spans="1:19" x14ac:dyDescent="0.15">
      <c r="A17" t="s">
        <v>19</v>
      </c>
      <c r="B17">
        <v>4</v>
      </c>
      <c r="C17">
        <v>29</v>
      </c>
      <c r="D17">
        <v>10</v>
      </c>
      <c r="E17">
        <v>30</v>
      </c>
      <c r="F17">
        <v>2.4</v>
      </c>
      <c r="G17">
        <v>1</v>
      </c>
      <c r="H17">
        <v>3</v>
      </c>
      <c r="I17">
        <v>0.02</v>
      </c>
      <c r="K17">
        <v>1</v>
      </c>
      <c r="L17">
        <v>0.01</v>
      </c>
      <c r="M17">
        <v>16443</v>
      </c>
      <c r="N17">
        <v>0.13118044152526909</v>
      </c>
      <c r="O17">
        <v>4.4383628291674347E-3</v>
      </c>
      <c r="P17">
        <v>-0.02</v>
      </c>
      <c r="Q17">
        <v>-15.161000000000319</v>
      </c>
      <c r="R17">
        <v>72.979999999987982</v>
      </c>
      <c r="S17">
        <f t="shared" si="0"/>
        <v>-0.20774184708143076</v>
      </c>
    </row>
    <row r="18" spans="1:19" x14ac:dyDescent="0.15">
      <c r="A18" t="s">
        <v>19</v>
      </c>
      <c r="B18">
        <v>4</v>
      </c>
      <c r="C18">
        <v>22</v>
      </c>
      <c r="D18">
        <v>20</v>
      </c>
      <c r="E18">
        <v>20</v>
      </c>
      <c r="F18">
        <v>3.2</v>
      </c>
      <c r="G18">
        <v>1</v>
      </c>
      <c r="H18">
        <v>2</v>
      </c>
      <c r="I18">
        <v>0.02</v>
      </c>
      <c r="K18">
        <v>7</v>
      </c>
      <c r="L18">
        <v>0.01</v>
      </c>
      <c r="M18">
        <v>32108</v>
      </c>
      <c r="N18">
        <v>0.17185748100161949</v>
      </c>
      <c r="O18">
        <v>2.23707487230598E-3</v>
      </c>
      <c r="P18">
        <v>-0.02</v>
      </c>
      <c r="Q18">
        <v>-23.256999999984881</v>
      </c>
      <c r="R18">
        <v>71.828000000005218</v>
      </c>
      <c r="S18">
        <f t="shared" si="0"/>
        <v>-0.3237873809654061</v>
      </c>
    </row>
    <row r="19" spans="1:19" x14ac:dyDescent="0.15">
      <c r="A19" t="s">
        <v>19</v>
      </c>
      <c r="B19">
        <v>4</v>
      </c>
      <c r="C19">
        <v>14</v>
      </c>
      <c r="D19">
        <v>15</v>
      </c>
      <c r="E19">
        <v>20</v>
      </c>
      <c r="F19">
        <v>2.6</v>
      </c>
      <c r="G19">
        <v>1</v>
      </c>
      <c r="H19">
        <v>2.9</v>
      </c>
      <c r="I19">
        <v>0.02</v>
      </c>
      <c r="K19">
        <v>3</v>
      </c>
      <c r="L19">
        <v>0.01</v>
      </c>
      <c r="M19">
        <v>18828</v>
      </c>
      <c r="N19">
        <v>0.13299341406415979</v>
      </c>
      <c r="O19">
        <v>3.65354790737201E-3</v>
      </c>
      <c r="P19">
        <v>-0.02</v>
      </c>
      <c r="Q19">
        <v>-17.904000000001059</v>
      </c>
      <c r="R19">
        <v>68.788999999990224</v>
      </c>
      <c r="S19">
        <f t="shared" si="0"/>
        <v>-0.26027417174262751</v>
      </c>
    </row>
    <row r="20" spans="1:19" x14ac:dyDescent="0.15">
      <c r="A20" t="s">
        <v>19</v>
      </c>
      <c r="B20">
        <v>4</v>
      </c>
      <c r="C20">
        <v>13</v>
      </c>
      <c r="D20">
        <v>10</v>
      </c>
      <c r="E20">
        <v>5</v>
      </c>
      <c r="F20">
        <v>2.8</v>
      </c>
      <c r="G20">
        <v>1</v>
      </c>
      <c r="H20">
        <v>2.4</v>
      </c>
      <c r="I20">
        <v>0.05</v>
      </c>
      <c r="K20">
        <v>3</v>
      </c>
      <c r="L20">
        <v>0.01</v>
      </c>
      <c r="M20">
        <v>27730</v>
      </c>
      <c r="N20">
        <v>0.26235124413992073</v>
      </c>
      <c r="O20">
        <v>2.4765596826541751E-3</v>
      </c>
      <c r="P20">
        <v>-0.05</v>
      </c>
      <c r="Q20">
        <v>-35.887999999997078</v>
      </c>
      <c r="R20">
        <v>68.675000000013057</v>
      </c>
      <c r="S20">
        <f t="shared" si="0"/>
        <v>-0.52257735711671283</v>
      </c>
    </row>
    <row r="21" spans="1:19" x14ac:dyDescent="0.15">
      <c r="A21" t="s">
        <v>19</v>
      </c>
      <c r="B21">
        <v>4</v>
      </c>
      <c r="C21">
        <v>4</v>
      </c>
      <c r="D21">
        <v>30</v>
      </c>
      <c r="E21">
        <v>15</v>
      </c>
      <c r="F21">
        <v>2</v>
      </c>
      <c r="G21">
        <v>1</v>
      </c>
      <c r="H21">
        <v>2.6</v>
      </c>
      <c r="I21">
        <v>0.1</v>
      </c>
      <c r="K21">
        <v>7</v>
      </c>
      <c r="L21">
        <v>0.01</v>
      </c>
      <c r="M21">
        <v>23878</v>
      </c>
      <c r="N21">
        <v>0.30932238880978308</v>
      </c>
      <c r="O21">
        <v>2.8572744785995549E-3</v>
      </c>
      <c r="P21">
        <v>-2.2999999999996131E-2</v>
      </c>
      <c r="Q21">
        <v>-44.728999999999807</v>
      </c>
      <c r="R21">
        <v>68.226000000003054</v>
      </c>
      <c r="S21">
        <f t="shared" si="0"/>
        <v>-0.65560050420657523</v>
      </c>
    </row>
    <row r="22" spans="1:19" x14ac:dyDescent="0.15">
      <c r="A22" t="s">
        <v>19</v>
      </c>
      <c r="B22">
        <v>4</v>
      </c>
      <c r="C22">
        <v>49</v>
      </c>
      <c r="D22">
        <v>10</v>
      </c>
      <c r="E22">
        <v>25</v>
      </c>
      <c r="F22">
        <v>2.4</v>
      </c>
      <c r="G22">
        <v>1</v>
      </c>
      <c r="H22">
        <v>2.5</v>
      </c>
      <c r="I22">
        <v>0.04</v>
      </c>
      <c r="K22">
        <v>4</v>
      </c>
      <c r="L22">
        <v>0.01</v>
      </c>
      <c r="M22">
        <v>23175</v>
      </c>
      <c r="N22">
        <v>0.2296871628910464</v>
      </c>
      <c r="O22">
        <v>2.9252211434735672E-3</v>
      </c>
      <c r="P22">
        <v>-0.04</v>
      </c>
      <c r="Q22">
        <v>-46.644999999996003</v>
      </c>
      <c r="R22">
        <v>67.792000000008883</v>
      </c>
      <c r="S22">
        <f t="shared" si="0"/>
        <v>-0.68806053811644285</v>
      </c>
    </row>
    <row r="23" spans="1:19" x14ac:dyDescent="0.15">
      <c r="A23" t="s">
        <v>19</v>
      </c>
      <c r="B23">
        <v>4</v>
      </c>
      <c r="C23">
        <v>45</v>
      </c>
      <c r="D23">
        <v>25</v>
      </c>
      <c r="E23">
        <v>15</v>
      </c>
      <c r="F23">
        <v>3.6</v>
      </c>
      <c r="G23">
        <v>1</v>
      </c>
      <c r="H23">
        <v>2.4</v>
      </c>
      <c r="I23">
        <v>0.02</v>
      </c>
      <c r="K23">
        <v>2</v>
      </c>
      <c r="L23">
        <v>0.01</v>
      </c>
      <c r="M23">
        <v>24128</v>
      </c>
      <c r="N23">
        <v>0.15144230769230771</v>
      </c>
      <c r="O23">
        <v>2.6092092175066129E-3</v>
      </c>
      <c r="P23">
        <v>-0.02</v>
      </c>
      <c r="Q23">
        <v>-18.551000000000212</v>
      </c>
      <c r="R23">
        <v>62.954999999973687</v>
      </c>
      <c r="S23">
        <f t="shared" si="0"/>
        <v>-0.29467079660087309</v>
      </c>
    </row>
    <row r="24" spans="1:19" x14ac:dyDescent="0.15">
      <c r="A24" t="s">
        <v>19</v>
      </c>
      <c r="B24">
        <v>4</v>
      </c>
      <c r="C24">
        <v>1</v>
      </c>
      <c r="D24">
        <v>25</v>
      </c>
      <c r="E24">
        <v>25</v>
      </c>
      <c r="F24">
        <v>3.8</v>
      </c>
      <c r="G24">
        <v>1</v>
      </c>
      <c r="H24">
        <v>1.8</v>
      </c>
      <c r="I24">
        <v>0.03</v>
      </c>
      <c r="K24">
        <v>3</v>
      </c>
      <c r="L24">
        <v>0.01</v>
      </c>
      <c r="M24">
        <v>35626</v>
      </c>
      <c r="N24">
        <v>0.22955145118733511</v>
      </c>
      <c r="O24">
        <v>1.757761185650938E-3</v>
      </c>
      <c r="P24">
        <v>-0.03</v>
      </c>
      <c r="Q24">
        <v>-41.826000000004342</v>
      </c>
      <c r="R24">
        <v>62.621999999974079</v>
      </c>
      <c r="S24">
        <f t="shared" si="0"/>
        <v>-0.66791223531700772</v>
      </c>
    </row>
    <row r="25" spans="1:19" x14ac:dyDescent="0.15">
      <c r="A25" t="s">
        <v>19</v>
      </c>
      <c r="B25">
        <v>4</v>
      </c>
      <c r="C25">
        <v>19</v>
      </c>
      <c r="D25">
        <v>10</v>
      </c>
      <c r="E25">
        <v>20</v>
      </c>
      <c r="F25">
        <v>3.4</v>
      </c>
      <c r="G25">
        <v>1</v>
      </c>
      <c r="H25">
        <v>2.9</v>
      </c>
      <c r="I25">
        <v>0.03</v>
      </c>
      <c r="K25">
        <v>1</v>
      </c>
      <c r="L25">
        <v>0.01</v>
      </c>
      <c r="M25">
        <v>16432</v>
      </c>
      <c r="N25">
        <v>0.18141431353456669</v>
      </c>
      <c r="O25">
        <v>3.5433300876338489E-3</v>
      </c>
      <c r="P25">
        <v>-0.03</v>
      </c>
      <c r="Q25">
        <v>-30.67000000000203</v>
      </c>
      <c r="R25">
        <v>58.223999999986027</v>
      </c>
      <c r="S25">
        <f t="shared" si="0"/>
        <v>-0.52675872492459108</v>
      </c>
    </row>
    <row r="26" spans="1:19" x14ac:dyDescent="0.15">
      <c r="A26" t="s">
        <v>19</v>
      </c>
      <c r="B26">
        <v>4</v>
      </c>
      <c r="C26">
        <v>42</v>
      </c>
      <c r="D26">
        <v>10</v>
      </c>
      <c r="E26">
        <v>15</v>
      </c>
      <c r="F26">
        <v>2.4</v>
      </c>
      <c r="G26">
        <v>1</v>
      </c>
      <c r="H26">
        <v>2.9</v>
      </c>
      <c r="I26">
        <v>0.05</v>
      </c>
      <c r="K26">
        <v>10</v>
      </c>
      <c r="L26">
        <v>0.01</v>
      </c>
      <c r="M26">
        <v>19579</v>
      </c>
      <c r="N26">
        <v>0.2444966545788855</v>
      </c>
      <c r="O26">
        <v>2.8210327391593429E-3</v>
      </c>
      <c r="P26">
        <v>-0.05</v>
      </c>
      <c r="Q26">
        <v>-35.899999999999807</v>
      </c>
      <c r="R26">
        <v>55.233000000013817</v>
      </c>
      <c r="S26">
        <f t="shared" si="0"/>
        <v>-0.64997374757827431</v>
      </c>
    </row>
    <row r="27" spans="1:19" x14ac:dyDescent="0.15">
      <c r="A27" t="s">
        <v>19</v>
      </c>
      <c r="B27">
        <v>4</v>
      </c>
      <c r="C27">
        <v>28</v>
      </c>
      <c r="D27">
        <v>30</v>
      </c>
      <c r="E27">
        <v>15</v>
      </c>
      <c r="F27">
        <v>4</v>
      </c>
      <c r="G27">
        <v>1</v>
      </c>
      <c r="H27">
        <v>3</v>
      </c>
      <c r="I27">
        <v>0.04</v>
      </c>
      <c r="K27">
        <v>7</v>
      </c>
      <c r="L27">
        <v>0.01</v>
      </c>
      <c r="M27">
        <v>17394</v>
      </c>
      <c r="N27">
        <v>0.21708635161549961</v>
      </c>
      <c r="O27">
        <v>3.0966425204093512E-3</v>
      </c>
      <c r="P27">
        <v>-0.04</v>
      </c>
      <c r="Q27">
        <v>-34.79000000000142</v>
      </c>
      <c r="R27">
        <v>53.863000000005229</v>
      </c>
      <c r="S27">
        <f t="shared" si="0"/>
        <v>-0.64589792622018904</v>
      </c>
    </row>
    <row r="28" spans="1:19" x14ac:dyDescent="0.15">
      <c r="A28" t="s">
        <v>19</v>
      </c>
      <c r="B28">
        <v>4</v>
      </c>
      <c r="C28">
        <v>26</v>
      </c>
      <c r="D28">
        <v>10</v>
      </c>
      <c r="E28">
        <v>15</v>
      </c>
      <c r="F28">
        <v>2.6</v>
      </c>
      <c r="G28">
        <v>1</v>
      </c>
      <c r="H28">
        <v>2.5</v>
      </c>
      <c r="I28">
        <v>0.06</v>
      </c>
      <c r="K28">
        <v>3</v>
      </c>
      <c r="L28">
        <v>0.01</v>
      </c>
      <c r="M28">
        <v>23446</v>
      </c>
      <c r="N28">
        <v>0.27194404162756969</v>
      </c>
      <c r="O28">
        <v>2.2951462936108649E-3</v>
      </c>
      <c r="P28">
        <v>-0.06</v>
      </c>
      <c r="Q28">
        <v>-58.738999999999137</v>
      </c>
      <c r="R28">
        <v>53.811999999998321</v>
      </c>
      <c r="S28">
        <f t="shared" si="0"/>
        <v>-1.0915595034564962</v>
      </c>
    </row>
    <row r="29" spans="1:19" x14ac:dyDescent="0.15">
      <c r="A29" t="s">
        <v>19</v>
      </c>
      <c r="B29">
        <v>4</v>
      </c>
      <c r="C29">
        <v>15</v>
      </c>
      <c r="D29">
        <v>20</v>
      </c>
      <c r="E29">
        <v>20</v>
      </c>
      <c r="F29">
        <v>3.2</v>
      </c>
      <c r="G29">
        <v>1</v>
      </c>
      <c r="H29">
        <v>1.8</v>
      </c>
      <c r="I29">
        <v>0.03</v>
      </c>
      <c r="K29">
        <v>2</v>
      </c>
      <c r="L29">
        <v>0.01</v>
      </c>
      <c r="M29">
        <v>34843</v>
      </c>
      <c r="N29">
        <v>0.22828114685876649</v>
      </c>
      <c r="O29">
        <v>1.507849496312056E-3</v>
      </c>
      <c r="P29">
        <v>-0.03</v>
      </c>
      <c r="Q29">
        <v>-40.21400000000466</v>
      </c>
      <c r="R29">
        <v>52.537999999984287</v>
      </c>
      <c r="S29">
        <f t="shared" si="0"/>
        <v>-0.7654269290802217</v>
      </c>
    </row>
    <row r="30" spans="1:19" x14ac:dyDescent="0.15">
      <c r="A30" t="s">
        <v>19</v>
      </c>
      <c r="B30">
        <v>4</v>
      </c>
      <c r="C30">
        <v>30</v>
      </c>
      <c r="D30">
        <v>30</v>
      </c>
      <c r="E30">
        <v>5</v>
      </c>
      <c r="F30">
        <v>2.2000000000000002</v>
      </c>
      <c r="G30">
        <v>1</v>
      </c>
      <c r="H30">
        <v>1.8</v>
      </c>
      <c r="I30">
        <v>0.04</v>
      </c>
      <c r="K30">
        <v>1</v>
      </c>
      <c r="L30">
        <v>0.01</v>
      </c>
      <c r="M30">
        <v>36798</v>
      </c>
      <c r="N30">
        <v>0.26338387955867171</v>
      </c>
      <c r="O30">
        <v>1.3580901135931099E-3</v>
      </c>
      <c r="P30">
        <v>-0.04</v>
      </c>
      <c r="Q30">
        <v>-24.740999999999339</v>
      </c>
      <c r="R30">
        <v>49.975000000009203</v>
      </c>
      <c r="S30">
        <f t="shared" si="0"/>
        <v>-0.49506753376677903</v>
      </c>
    </row>
    <row r="31" spans="1:19" x14ac:dyDescent="0.15">
      <c r="A31" t="s">
        <v>19</v>
      </c>
      <c r="B31">
        <v>4</v>
      </c>
      <c r="C31">
        <v>37</v>
      </c>
      <c r="D31">
        <v>25</v>
      </c>
      <c r="E31">
        <v>30</v>
      </c>
      <c r="F31">
        <v>4</v>
      </c>
      <c r="G31">
        <v>1</v>
      </c>
      <c r="H31">
        <v>2.5</v>
      </c>
      <c r="I31">
        <v>0.03</v>
      </c>
      <c r="K31">
        <v>1</v>
      </c>
      <c r="L31">
        <v>0.01</v>
      </c>
      <c r="M31">
        <v>19540</v>
      </c>
      <c r="N31">
        <v>0.19692937563971341</v>
      </c>
      <c r="O31">
        <v>2.256141248720556E-3</v>
      </c>
      <c r="P31">
        <v>-0.03</v>
      </c>
      <c r="Q31">
        <v>-28.612000000001569</v>
      </c>
      <c r="R31">
        <v>44.084999999991417</v>
      </c>
      <c r="S31">
        <f t="shared" si="0"/>
        <v>-0.64901894068293386</v>
      </c>
    </row>
    <row r="32" spans="1:19" x14ac:dyDescent="0.15">
      <c r="A32" t="s">
        <v>19</v>
      </c>
      <c r="B32">
        <v>4</v>
      </c>
      <c r="C32">
        <v>36</v>
      </c>
      <c r="D32">
        <v>5</v>
      </c>
      <c r="E32">
        <v>20</v>
      </c>
      <c r="F32">
        <v>3.6</v>
      </c>
      <c r="G32">
        <v>1</v>
      </c>
      <c r="H32">
        <v>2</v>
      </c>
      <c r="I32">
        <v>0.02</v>
      </c>
      <c r="K32">
        <v>10</v>
      </c>
      <c r="L32">
        <v>0.01</v>
      </c>
      <c r="M32">
        <v>32090</v>
      </c>
      <c r="N32">
        <v>0.1684948582112808</v>
      </c>
      <c r="O32">
        <v>1.2582736054845649E-3</v>
      </c>
      <c r="P32">
        <v>-0.02</v>
      </c>
      <c r="Q32">
        <v>-21.206999999999699</v>
      </c>
      <c r="R32">
        <v>40.377999999996362</v>
      </c>
      <c r="S32">
        <f t="shared" si="0"/>
        <v>-0.52521174897225242</v>
      </c>
    </row>
    <row r="33" spans="1:19" x14ac:dyDescent="0.15">
      <c r="A33" t="s">
        <v>19</v>
      </c>
      <c r="B33">
        <v>4</v>
      </c>
      <c r="C33">
        <v>12</v>
      </c>
      <c r="D33">
        <v>20</v>
      </c>
      <c r="E33">
        <v>30</v>
      </c>
      <c r="F33">
        <v>2.4</v>
      </c>
      <c r="G33">
        <v>1</v>
      </c>
      <c r="H33">
        <v>1.8</v>
      </c>
      <c r="I33">
        <v>0.1</v>
      </c>
      <c r="K33">
        <v>5</v>
      </c>
      <c r="L33">
        <v>0.01</v>
      </c>
      <c r="M33">
        <v>36873</v>
      </c>
      <c r="N33">
        <v>0.32121064193312182</v>
      </c>
      <c r="O33">
        <v>1.008081794266847E-3</v>
      </c>
      <c r="P33">
        <v>-1.300000000000523E-2</v>
      </c>
      <c r="Q33">
        <v>-63.758000000002077</v>
      </c>
      <c r="R33">
        <v>37.170999999992183</v>
      </c>
      <c r="S33">
        <f t="shared" si="0"/>
        <v>-1.715261897716378</v>
      </c>
    </row>
    <row r="34" spans="1:19" x14ac:dyDescent="0.15">
      <c r="A34" t="s">
        <v>19</v>
      </c>
      <c r="B34">
        <v>4</v>
      </c>
      <c r="C34">
        <v>41</v>
      </c>
      <c r="D34">
        <v>30</v>
      </c>
      <c r="E34">
        <v>25</v>
      </c>
      <c r="F34">
        <v>2.6</v>
      </c>
      <c r="G34">
        <v>1</v>
      </c>
      <c r="H34">
        <v>2.9</v>
      </c>
      <c r="I34">
        <v>0.04</v>
      </c>
      <c r="K34">
        <v>2</v>
      </c>
      <c r="L34">
        <v>0.01</v>
      </c>
      <c r="M34">
        <v>17724</v>
      </c>
      <c r="N34">
        <v>0.2123674114195441</v>
      </c>
      <c r="O34">
        <v>1.4067366283005949E-3</v>
      </c>
      <c r="P34">
        <v>-0.04</v>
      </c>
      <c r="Q34">
        <v>-42.544999999998048</v>
      </c>
      <c r="R34">
        <v>24.93300000000978</v>
      </c>
      <c r="S34">
        <f t="shared" ref="S34:S65" si="1">Q34/R34</f>
        <v>-1.706373079853261</v>
      </c>
    </row>
    <row r="35" spans="1:19" x14ac:dyDescent="0.15">
      <c r="A35" t="s">
        <v>19</v>
      </c>
      <c r="B35">
        <v>4</v>
      </c>
      <c r="C35">
        <v>11</v>
      </c>
      <c r="D35">
        <v>15</v>
      </c>
      <c r="E35">
        <v>10</v>
      </c>
      <c r="F35">
        <v>2.2000000000000002</v>
      </c>
      <c r="G35">
        <v>1</v>
      </c>
      <c r="H35">
        <v>1.5</v>
      </c>
      <c r="I35">
        <v>0.04</v>
      </c>
      <c r="K35">
        <v>2</v>
      </c>
      <c r="L35">
        <v>0.01</v>
      </c>
      <c r="M35">
        <v>46997</v>
      </c>
      <c r="N35">
        <v>0.26997467923484469</v>
      </c>
      <c r="O35">
        <v>5.0094686894908743E-4</v>
      </c>
      <c r="P35">
        <v>-0.04</v>
      </c>
      <c r="Q35">
        <v>-42.317999999997753</v>
      </c>
      <c r="R35">
        <v>23.543000000014789</v>
      </c>
      <c r="S35">
        <f t="shared" si="1"/>
        <v>-1.7974769570560749</v>
      </c>
    </row>
    <row r="36" spans="1:19" x14ac:dyDescent="0.15">
      <c r="A36" t="s">
        <v>19</v>
      </c>
      <c r="B36">
        <v>4</v>
      </c>
      <c r="C36">
        <v>47</v>
      </c>
      <c r="D36">
        <v>20</v>
      </c>
      <c r="E36">
        <v>30</v>
      </c>
      <c r="F36">
        <v>3</v>
      </c>
      <c r="G36">
        <v>1</v>
      </c>
      <c r="H36">
        <v>1.9</v>
      </c>
      <c r="I36">
        <v>0.08</v>
      </c>
      <c r="K36">
        <v>3</v>
      </c>
      <c r="L36">
        <v>0.01</v>
      </c>
      <c r="M36">
        <v>32593</v>
      </c>
      <c r="N36">
        <v>0.31242904918233982</v>
      </c>
      <c r="O36">
        <v>6.7026662166725607E-4</v>
      </c>
      <c r="P36">
        <v>-1.600000000000534E-2</v>
      </c>
      <c r="Q36">
        <v>-63.774999999996062</v>
      </c>
      <c r="R36">
        <v>21.846000000013749</v>
      </c>
      <c r="S36">
        <f t="shared" si="1"/>
        <v>-2.9192987274538096</v>
      </c>
    </row>
    <row r="37" spans="1:19" x14ac:dyDescent="0.15">
      <c r="A37" t="s">
        <v>19</v>
      </c>
      <c r="B37">
        <v>4</v>
      </c>
      <c r="C37">
        <v>20</v>
      </c>
      <c r="D37">
        <v>15</v>
      </c>
      <c r="E37">
        <v>25</v>
      </c>
      <c r="F37">
        <v>3</v>
      </c>
      <c r="G37">
        <v>1</v>
      </c>
      <c r="H37">
        <v>1.7</v>
      </c>
      <c r="I37">
        <v>0.03</v>
      </c>
      <c r="K37">
        <v>1</v>
      </c>
      <c r="L37">
        <v>0.01</v>
      </c>
      <c r="M37">
        <v>33801</v>
      </c>
      <c r="N37">
        <v>0.23386882044909921</v>
      </c>
      <c r="O37">
        <v>5.6791219194700664E-4</v>
      </c>
      <c r="P37">
        <v>-0.03</v>
      </c>
      <c r="Q37">
        <v>-29.35100000000465</v>
      </c>
      <c r="R37">
        <v>19.19599999999048</v>
      </c>
      <c r="S37">
        <f t="shared" si="1"/>
        <v>-1.5290164617638677</v>
      </c>
    </row>
    <row r="38" spans="1:19" x14ac:dyDescent="0.15">
      <c r="A38" t="s">
        <v>19</v>
      </c>
      <c r="B38">
        <v>4</v>
      </c>
      <c r="C38">
        <v>0</v>
      </c>
      <c r="D38">
        <v>25</v>
      </c>
      <c r="E38">
        <v>25</v>
      </c>
      <c r="F38">
        <v>3.8</v>
      </c>
      <c r="G38">
        <v>1</v>
      </c>
      <c r="H38">
        <v>1.8</v>
      </c>
      <c r="I38">
        <v>7.0000000000000007E-2</v>
      </c>
      <c r="K38">
        <v>2</v>
      </c>
      <c r="L38">
        <v>0.01</v>
      </c>
      <c r="M38">
        <v>32987</v>
      </c>
      <c r="N38">
        <v>0.30645405765907779</v>
      </c>
      <c r="O38">
        <v>5.0626004183471638E-4</v>
      </c>
      <c r="P38">
        <v>-1.6999999999995911E-2</v>
      </c>
      <c r="Q38">
        <v>-59.778999999999627</v>
      </c>
      <c r="R38">
        <v>16.70000000000428</v>
      </c>
      <c r="S38">
        <f t="shared" si="1"/>
        <v>-3.5795808383224137</v>
      </c>
    </row>
    <row r="39" spans="1:19" x14ac:dyDescent="0.15">
      <c r="A39" t="s">
        <v>19</v>
      </c>
      <c r="B39">
        <v>4</v>
      </c>
      <c r="C39">
        <v>43</v>
      </c>
      <c r="D39">
        <v>15</v>
      </c>
      <c r="E39">
        <v>10</v>
      </c>
      <c r="F39">
        <v>2.2000000000000002</v>
      </c>
      <c r="G39">
        <v>1</v>
      </c>
      <c r="H39">
        <v>1.3</v>
      </c>
      <c r="I39">
        <v>9.0000000000000011E-2</v>
      </c>
      <c r="K39">
        <v>4</v>
      </c>
      <c r="L39">
        <v>0.01</v>
      </c>
      <c r="M39">
        <v>59425</v>
      </c>
      <c r="N39">
        <v>0.31932688262515768</v>
      </c>
      <c r="O39">
        <v>2.7656710138827562E-4</v>
      </c>
      <c r="P39">
        <v>-1.099999999999568E-2</v>
      </c>
      <c r="Q39">
        <v>-55.714000000000738</v>
      </c>
      <c r="R39">
        <v>16.43499999999969</v>
      </c>
      <c r="S39">
        <f t="shared" si="1"/>
        <v>-3.3899604502587035</v>
      </c>
    </row>
    <row r="40" spans="1:19" x14ac:dyDescent="0.15">
      <c r="A40" t="s">
        <v>19</v>
      </c>
      <c r="B40">
        <v>4</v>
      </c>
      <c r="C40">
        <v>8</v>
      </c>
      <c r="D40">
        <v>25</v>
      </c>
      <c r="E40">
        <v>25</v>
      </c>
      <c r="F40">
        <v>3.8</v>
      </c>
      <c r="G40">
        <v>1</v>
      </c>
      <c r="H40">
        <v>1.8</v>
      </c>
      <c r="I40">
        <v>7.0000000000000007E-2</v>
      </c>
      <c r="K40">
        <v>1</v>
      </c>
      <c r="L40">
        <v>0.01</v>
      </c>
      <c r="M40">
        <v>28851</v>
      </c>
      <c r="N40">
        <v>0.30723371806869781</v>
      </c>
      <c r="O40">
        <v>4.3308724134351762E-4</v>
      </c>
      <c r="P40">
        <v>-1.7000000000010122E-2</v>
      </c>
      <c r="Q40">
        <v>-52.071000000001163</v>
      </c>
      <c r="R40">
        <v>12.494999999998999</v>
      </c>
      <c r="S40">
        <f t="shared" si="1"/>
        <v>-4.1673469387759372</v>
      </c>
    </row>
    <row r="41" spans="1:19" x14ac:dyDescent="0.15">
      <c r="A41" t="s">
        <v>19</v>
      </c>
      <c r="B41">
        <v>4</v>
      </c>
      <c r="C41">
        <v>21</v>
      </c>
      <c r="D41">
        <v>20</v>
      </c>
      <c r="E41">
        <v>5</v>
      </c>
      <c r="F41">
        <v>3</v>
      </c>
      <c r="G41">
        <v>1</v>
      </c>
      <c r="H41">
        <v>1.4</v>
      </c>
      <c r="I41">
        <v>0.08</v>
      </c>
      <c r="K41">
        <v>5</v>
      </c>
      <c r="L41">
        <v>0.01</v>
      </c>
      <c r="M41">
        <v>56306</v>
      </c>
      <c r="N41">
        <v>0.31300394274144849</v>
      </c>
      <c r="O41">
        <v>1.178915213298604E-4</v>
      </c>
      <c r="P41">
        <v>-1.200000000000045E-2</v>
      </c>
      <c r="Q41">
        <v>-72.737999999995196</v>
      </c>
      <c r="R41">
        <v>6.6380000000062829</v>
      </c>
      <c r="S41">
        <f t="shared" si="1"/>
        <v>-10.957818620055189</v>
      </c>
    </row>
    <row r="42" spans="1:19" x14ac:dyDescent="0.15">
      <c r="A42" t="s">
        <v>19</v>
      </c>
      <c r="B42">
        <v>4</v>
      </c>
      <c r="C42">
        <v>17</v>
      </c>
      <c r="D42">
        <v>20</v>
      </c>
      <c r="E42">
        <v>5</v>
      </c>
      <c r="F42">
        <v>2.2000000000000002</v>
      </c>
      <c r="G42">
        <v>1</v>
      </c>
      <c r="H42">
        <v>1.8</v>
      </c>
      <c r="I42">
        <v>0.04</v>
      </c>
      <c r="K42">
        <v>1</v>
      </c>
      <c r="L42">
        <v>0.01</v>
      </c>
      <c r="M42">
        <v>37004</v>
      </c>
      <c r="N42">
        <v>0.26007999135228632</v>
      </c>
      <c r="O42">
        <v>1.2736460923144709E-4</v>
      </c>
      <c r="P42">
        <v>-0.04</v>
      </c>
      <c r="Q42">
        <v>-40.589999999993772</v>
      </c>
      <c r="R42">
        <v>4.7130000000103758</v>
      </c>
      <c r="S42">
        <f t="shared" si="1"/>
        <v>-8.6123488223858295</v>
      </c>
    </row>
    <row r="43" spans="1:19" x14ac:dyDescent="0.15">
      <c r="A43" t="s">
        <v>19</v>
      </c>
      <c r="B43">
        <v>4</v>
      </c>
      <c r="C43">
        <v>3</v>
      </c>
      <c r="D43">
        <v>10</v>
      </c>
      <c r="E43">
        <v>25</v>
      </c>
      <c r="F43">
        <v>2</v>
      </c>
      <c r="G43">
        <v>1</v>
      </c>
      <c r="H43">
        <v>2.4</v>
      </c>
      <c r="I43">
        <v>0.1</v>
      </c>
      <c r="K43">
        <v>2</v>
      </c>
      <c r="L43">
        <v>0.01</v>
      </c>
      <c r="M43">
        <v>23280</v>
      </c>
      <c r="N43">
        <v>0.3118127147766323</v>
      </c>
      <c r="O43">
        <v>7.1907216494951782E-5</v>
      </c>
      <c r="P43">
        <v>-1.900000000000546E-2</v>
      </c>
      <c r="Q43">
        <v>-41.095999999997908</v>
      </c>
      <c r="R43">
        <v>1.674000000003631</v>
      </c>
      <c r="S43">
        <f t="shared" si="1"/>
        <v>-24.549581839849921</v>
      </c>
    </row>
    <row r="44" spans="1:19" x14ac:dyDescent="0.15">
      <c r="A44" t="s">
        <v>19</v>
      </c>
      <c r="B44">
        <v>4</v>
      </c>
      <c r="C44">
        <v>46</v>
      </c>
      <c r="D44">
        <v>5</v>
      </c>
      <c r="E44">
        <v>20</v>
      </c>
      <c r="F44">
        <v>2.4</v>
      </c>
      <c r="G44">
        <v>1</v>
      </c>
      <c r="H44">
        <v>2.8</v>
      </c>
      <c r="I44">
        <v>0.1</v>
      </c>
      <c r="K44">
        <v>5</v>
      </c>
      <c r="L44">
        <v>0.01</v>
      </c>
      <c r="M44">
        <v>20483</v>
      </c>
      <c r="N44">
        <v>0.30766977493531222</v>
      </c>
      <c r="O44">
        <v>7.1229800322270524E-5</v>
      </c>
      <c r="P44">
        <v>-2.4000000000000909E-2</v>
      </c>
      <c r="Q44">
        <v>-92.804000000000116</v>
      </c>
      <c r="R44">
        <v>1.45899999999568</v>
      </c>
      <c r="S44">
        <f t="shared" si="1"/>
        <v>-63.607950651319328</v>
      </c>
    </row>
    <row r="45" spans="1:19" x14ac:dyDescent="0.15">
      <c r="A45" t="s">
        <v>19</v>
      </c>
      <c r="B45">
        <v>4</v>
      </c>
      <c r="C45">
        <v>2</v>
      </c>
      <c r="D45">
        <v>10</v>
      </c>
      <c r="E45">
        <v>5</v>
      </c>
      <c r="F45">
        <v>2.2000000000000002</v>
      </c>
      <c r="G45">
        <v>1</v>
      </c>
      <c r="H45">
        <v>1.2</v>
      </c>
      <c r="I45">
        <v>0.1</v>
      </c>
      <c r="K45">
        <v>3</v>
      </c>
      <c r="L45">
        <v>0.01</v>
      </c>
      <c r="M45">
        <v>68332</v>
      </c>
      <c r="N45">
        <v>0.31617690101270268</v>
      </c>
      <c r="O45">
        <v>-1.4619797459466041E-4</v>
      </c>
      <c r="P45">
        <v>-1.0000000000005119E-2</v>
      </c>
      <c r="Q45">
        <v>-80.957000000003546</v>
      </c>
      <c r="R45">
        <v>-9.9900000000060718</v>
      </c>
      <c r="S45">
        <f t="shared" si="1"/>
        <v>8.1038038037992326</v>
      </c>
    </row>
    <row r="46" spans="1:19" x14ac:dyDescent="0.15">
      <c r="A46" t="s">
        <v>19</v>
      </c>
      <c r="B46">
        <v>4</v>
      </c>
      <c r="C46">
        <v>27</v>
      </c>
      <c r="D46">
        <v>15</v>
      </c>
      <c r="E46">
        <v>25</v>
      </c>
      <c r="F46">
        <v>3</v>
      </c>
      <c r="G46">
        <v>1</v>
      </c>
      <c r="H46">
        <v>1.7</v>
      </c>
      <c r="I46">
        <v>0.06</v>
      </c>
      <c r="K46">
        <v>4</v>
      </c>
      <c r="L46">
        <v>0.01</v>
      </c>
      <c r="M46">
        <v>39370</v>
      </c>
      <c r="N46">
        <v>0.30020320040640081</v>
      </c>
      <c r="O46">
        <v>-7.3843027686053958E-4</v>
      </c>
      <c r="P46">
        <v>-1.8000000000000679E-2</v>
      </c>
      <c r="Q46">
        <v>-91.839999999998611</v>
      </c>
      <c r="R46">
        <v>-29.07199999999979</v>
      </c>
      <c r="S46">
        <f t="shared" si="1"/>
        <v>3.1590533847000302</v>
      </c>
    </row>
    <row r="47" spans="1:19" x14ac:dyDescent="0.15">
      <c r="A47" t="s">
        <v>19</v>
      </c>
      <c r="B47">
        <v>4</v>
      </c>
      <c r="C47">
        <v>5</v>
      </c>
      <c r="D47">
        <v>25</v>
      </c>
      <c r="E47">
        <v>5</v>
      </c>
      <c r="F47">
        <v>3</v>
      </c>
      <c r="G47">
        <v>1</v>
      </c>
      <c r="H47">
        <v>1.4</v>
      </c>
      <c r="I47">
        <v>0.1</v>
      </c>
      <c r="K47">
        <v>10</v>
      </c>
      <c r="L47">
        <v>0.01</v>
      </c>
      <c r="M47">
        <v>56994</v>
      </c>
      <c r="N47">
        <v>0.32170052988033832</v>
      </c>
      <c r="O47">
        <v>-6.2120574095517764E-4</v>
      </c>
      <c r="P47">
        <v>-1.099999999999568E-2</v>
      </c>
      <c r="Q47">
        <v>-92.736000000009128</v>
      </c>
      <c r="R47">
        <v>-35.40500000000992</v>
      </c>
      <c r="S47">
        <f t="shared" si="1"/>
        <v>2.619291060584187</v>
      </c>
    </row>
    <row r="48" spans="1:19" x14ac:dyDescent="0.15">
      <c r="A48" t="s">
        <v>19</v>
      </c>
      <c r="B48">
        <v>4</v>
      </c>
      <c r="C48">
        <v>31</v>
      </c>
      <c r="D48">
        <v>25</v>
      </c>
      <c r="E48">
        <v>5</v>
      </c>
      <c r="F48">
        <v>2.4</v>
      </c>
      <c r="G48">
        <v>1</v>
      </c>
      <c r="H48">
        <v>1.4</v>
      </c>
      <c r="I48">
        <v>0.1</v>
      </c>
      <c r="K48">
        <v>2</v>
      </c>
      <c r="L48">
        <v>0.01</v>
      </c>
      <c r="M48">
        <v>53419</v>
      </c>
      <c r="N48">
        <v>0.32016698178550701</v>
      </c>
      <c r="O48">
        <v>-8.6242722626780975E-4</v>
      </c>
      <c r="P48">
        <v>-1.10000000000241E-2</v>
      </c>
      <c r="Q48">
        <v>-91.879000000007807</v>
      </c>
      <c r="R48">
        <v>-46.070000000008669</v>
      </c>
      <c r="S48">
        <f t="shared" si="1"/>
        <v>1.9943347080527571</v>
      </c>
    </row>
    <row r="49" spans="1:19" x14ac:dyDescent="0.15">
      <c r="A49" t="s">
        <v>19</v>
      </c>
      <c r="B49">
        <v>4</v>
      </c>
      <c r="C49">
        <v>9</v>
      </c>
      <c r="D49">
        <v>15</v>
      </c>
      <c r="E49">
        <v>15</v>
      </c>
      <c r="F49">
        <v>4</v>
      </c>
      <c r="G49">
        <v>1</v>
      </c>
      <c r="H49">
        <v>1.7</v>
      </c>
      <c r="I49">
        <v>0.1</v>
      </c>
      <c r="K49">
        <v>2</v>
      </c>
      <c r="L49">
        <v>0.01</v>
      </c>
      <c r="M49">
        <v>35890</v>
      </c>
      <c r="N49">
        <v>0.32231819448314292</v>
      </c>
      <c r="O49">
        <v>-1.814293675118353E-3</v>
      </c>
      <c r="P49">
        <v>-1.200000000000045E-2</v>
      </c>
      <c r="Q49">
        <v>-92.570000000000377</v>
      </c>
      <c r="R49">
        <v>-65.114999999999327</v>
      </c>
      <c r="S49">
        <f t="shared" si="1"/>
        <v>1.4216386393304359</v>
      </c>
    </row>
    <row r="50" spans="1:19" x14ac:dyDescent="0.15">
      <c r="A50" t="s">
        <v>19</v>
      </c>
      <c r="B50">
        <v>4</v>
      </c>
      <c r="C50">
        <v>16</v>
      </c>
      <c r="D50">
        <v>15</v>
      </c>
      <c r="E50">
        <v>10</v>
      </c>
      <c r="F50">
        <v>2.4</v>
      </c>
      <c r="G50">
        <v>1</v>
      </c>
      <c r="H50">
        <v>1.4</v>
      </c>
      <c r="I50">
        <v>0.1</v>
      </c>
      <c r="K50">
        <v>4</v>
      </c>
      <c r="L50">
        <v>0.01</v>
      </c>
      <c r="M50">
        <v>53894</v>
      </c>
      <c r="N50">
        <v>0.3201469551341522</v>
      </c>
      <c r="O50">
        <v>-1.2364085055850561E-3</v>
      </c>
      <c r="P50">
        <v>-1.099999999999568E-2</v>
      </c>
      <c r="Q50">
        <v>-111.2869999999953</v>
      </c>
      <c r="R50">
        <v>-66.634999999992885</v>
      </c>
      <c r="S50">
        <f t="shared" si="1"/>
        <v>1.670098296691036</v>
      </c>
    </row>
    <row r="51" spans="1:19" x14ac:dyDescent="0.15">
      <c r="A51" t="s">
        <v>19</v>
      </c>
      <c r="B51">
        <v>4</v>
      </c>
      <c r="C51">
        <v>39</v>
      </c>
      <c r="D51">
        <v>20</v>
      </c>
      <c r="E51">
        <v>5</v>
      </c>
      <c r="F51">
        <v>2.2000000000000002</v>
      </c>
      <c r="G51">
        <v>1</v>
      </c>
      <c r="H51">
        <v>1.5</v>
      </c>
      <c r="I51">
        <v>0.1</v>
      </c>
      <c r="K51">
        <v>10</v>
      </c>
      <c r="L51">
        <v>0.01</v>
      </c>
      <c r="M51">
        <v>55446</v>
      </c>
      <c r="N51">
        <v>0.31560437182123152</v>
      </c>
      <c r="O51">
        <v>-1.492749702413158E-3</v>
      </c>
      <c r="P51">
        <v>-1.299999999997681E-2</v>
      </c>
      <c r="Q51">
        <v>-132.6019999999873</v>
      </c>
      <c r="R51">
        <v>-82.76699999998614</v>
      </c>
      <c r="S51">
        <f t="shared" si="1"/>
        <v>1.6021119528315573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JP225</vt:lpstr>
      <vt:lpstr>USDJPY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Ikuo Kudo</cp:lastModifiedBy>
  <dcterms:created xsi:type="dcterms:W3CDTF">2025-11-02T15:58:12Z</dcterms:created>
  <dcterms:modified xsi:type="dcterms:W3CDTF">2025-11-04T00:15:14Z</dcterms:modified>
</cp:coreProperties>
</file>